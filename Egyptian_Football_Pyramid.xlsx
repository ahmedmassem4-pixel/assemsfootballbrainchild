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0" documentId="8_{9A6FB050-EA66-42E6-87AB-AD47CC938657}" xr6:coauthVersionLast="47" xr6:coauthVersionMax="47" xr10:uidLastSave="{00000000-0000-0000-0000-000000000000}"/>
  <bookViews>
    <workbookView xWindow="0" yWindow="0" windowWidth="0" windowHeight="0" firstSheet="2" xr2:uid="{00000000-000D-0000-FFFF-FFFF00000000}"/>
  </bookViews>
  <sheets>
    <sheet name="Clubs" sheetId="1" r:id="rId1"/>
    <sheet name="Governorates" sheetId="2" r:id="rId2"/>
    <sheet name="Official By District" sheetId="3" r:id="rId3"/>
    <sheet name="Players 1986-2026" sheetId="4" r:id="rId4"/>
  </sheets>
  <definedNames>
    <definedName name="_xlnm._FilterDatabase" localSheetId="0" hidden="1">Clubs!$A$1:$E$1001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5" i="3" l="1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B48" i="3"/>
  <c r="E48" i="3" s="1"/>
  <c r="E47" i="3"/>
  <c r="E46" i="3"/>
  <c r="E45" i="3"/>
  <c r="E44" i="3"/>
  <c r="E43" i="3"/>
  <c r="E42" i="3"/>
  <c r="E41" i="3"/>
  <c r="E40" i="3"/>
  <c r="E39" i="3"/>
  <c r="E38" i="3"/>
  <c r="E37" i="3"/>
  <c r="B36" i="3"/>
  <c r="E36" i="3" s="1"/>
  <c r="E35" i="3"/>
  <c r="E34" i="3"/>
  <c r="E33" i="3"/>
  <c r="E32" i="3"/>
  <c r="E31" i="3"/>
  <c r="B30" i="3"/>
  <c r="E30" i="3" s="1"/>
  <c r="E29" i="3"/>
  <c r="E28" i="3"/>
  <c r="E27" i="3"/>
  <c r="E26" i="3"/>
  <c r="E25" i="3"/>
  <c r="E24" i="3"/>
  <c r="E23" i="3"/>
  <c r="E22" i="3"/>
  <c r="E21" i="3"/>
  <c r="B20" i="3"/>
  <c r="E20" i="3" s="1"/>
  <c r="E19" i="3"/>
  <c r="E18" i="3"/>
  <c r="E17" i="3"/>
  <c r="E16" i="3"/>
  <c r="E15" i="3"/>
  <c r="E14" i="3"/>
  <c r="E13" i="3"/>
  <c r="E12" i="3"/>
  <c r="B11" i="3"/>
  <c r="E11" i="3" s="1"/>
  <c r="E10" i="3"/>
  <c r="B9" i="3"/>
  <c r="E9" i="3" s="1"/>
  <c r="E8" i="3"/>
  <c r="E7" i="3"/>
  <c r="E6" i="3"/>
  <c r="B5" i="3"/>
  <c r="E5" i="3" s="1"/>
  <c r="D4" i="3"/>
  <c r="B4" i="3"/>
  <c r="E4" i="3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D26" i="2"/>
  <c r="D27" i="2"/>
  <c r="D28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G2" i="2" s="1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F29" i="2"/>
  <c r="E29" i="2"/>
  <c r="C29" i="2"/>
  <c r="B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M8" i="2"/>
  <c r="M7" i="2"/>
  <c r="M6" i="2"/>
  <c r="M5" i="2"/>
  <c r="M4" i="2"/>
  <c r="M3" i="2"/>
  <c r="M2" i="2"/>
  <c r="L2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S3" i="2" s="1"/>
  <c r="Q20" i="2"/>
  <c r="Q28" i="2"/>
  <c r="Q2" i="2"/>
  <c r="Q4" i="2"/>
  <c r="Q27" i="2"/>
  <c r="Q26" i="2"/>
  <c r="Q25" i="2"/>
  <c r="Q24" i="2"/>
  <c r="Q23" i="2"/>
  <c r="Q22" i="2"/>
  <c r="Q21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3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3" i="2"/>
  <c r="K14" i="2"/>
  <c r="K12" i="2"/>
  <c r="K11" i="2"/>
  <c r="K10" i="2"/>
  <c r="K8" i="2"/>
  <c r="K9" i="2"/>
  <c r="K7" i="2"/>
  <c r="K6" i="2"/>
  <c r="K5" i="2"/>
  <c r="K4" i="2"/>
  <c r="K3" i="2"/>
  <c r="K2" i="2"/>
  <c r="K29" i="2" l="1"/>
  <c r="R2" i="2"/>
  <c r="R3" i="2"/>
  <c r="R4" i="2"/>
  <c r="R5" i="2"/>
  <c r="R6" i="2"/>
  <c r="R7" i="2"/>
  <c r="R9" i="2"/>
  <c r="R8" i="2"/>
  <c r="R10" i="2"/>
  <c r="R11" i="2"/>
  <c r="R12" i="2"/>
  <c r="R14" i="2"/>
  <c r="R13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" i="2"/>
  <c r="M29" i="2"/>
  <c r="T2" i="2"/>
  <c r="T3" i="2"/>
  <c r="T4" i="2"/>
  <c r="T5" i="2"/>
  <c r="T6" i="2"/>
  <c r="T7" i="2"/>
  <c r="T8" i="2"/>
  <c r="N29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O29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P29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8" i="2"/>
  <c r="G27" i="2"/>
  <c r="G26" i="2"/>
  <c r="L29" i="2"/>
  <c r="Q29" i="2"/>
  <c r="X28" i="2" l="1"/>
  <c r="Y28" i="2" s="1"/>
  <c r="X27" i="2"/>
  <c r="Y27" i="2" s="1"/>
  <c r="X26" i="2"/>
  <c r="Y26" i="2" s="1"/>
  <c r="X25" i="2"/>
  <c r="Y25" i="2" s="1"/>
  <c r="X24" i="2"/>
  <c r="Y24" i="2" s="1"/>
  <c r="X23" i="2"/>
  <c r="Y23" i="2" s="1"/>
  <c r="X22" i="2"/>
  <c r="Y22" i="2" s="1"/>
  <c r="X21" i="2"/>
  <c r="Y21" i="2" s="1"/>
  <c r="X20" i="2"/>
  <c r="Y20" i="2" s="1"/>
  <c r="X19" i="2"/>
  <c r="Y19" i="2" s="1"/>
  <c r="X18" i="2"/>
  <c r="Y18" i="2" s="1"/>
  <c r="X17" i="2"/>
  <c r="Y17" i="2" s="1"/>
  <c r="X16" i="2"/>
  <c r="Y16" i="2" s="1"/>
  <c r="X15" i="2"/>
  <c r="Y15" i="2" s="1"/>
  <c r="X13" i="2"/>
  <c r="Y13" i="2" s="1"/>
  <c r="X14" i="2"/>
  <c r="Y14" i="2" s="1"/>
  <c r="X12" i="2"/>
  <c r="Y12" i="2" s="1"/>
  <c r="X11" i="2"/>
  <c r="Y11" i="2" s="1"/>
  <c r="X10" i="2"/>
  <c r="Y10" i="2" s="1"/>
  <c r="X8" i="2"/>
  <c r="Y8" i="2" s="1"/>
  <c r="X9" i="2"/>
  <c r="Y9" i="2" s="1"/>
  <c r="X7" i="2"/>
  <c r="Y7" i="2" s="1"/>
  <c r="X6" i="2"/>
  <c r="Y6" i="2" s="1"/>
  <c r="X5" i="2"/>
  <c r="Y5" i="2" s="1"/>
  <c r="X4" i="2"/>
  <c r="Y4" i="2" s="1"/>
  <c r="X3" i="2"/>
  <c r="Y3" i="2" s="1"/>
  <c r="X2" i="2"/>
  <c r="Y2" i="2" s="1"/>
</calcChain>
</file>

<file path=xl/sharedStrings.xml><?xml version="1.0" encoding="utf-8"?>
<sst xmlns="http://schemas.openxmlformats.org/spreadsheetml/2006/main" count="1401" uniqueCount="683">
  <si>
    <t>Level</t>
  </si>
  <si>
    <t>Name</t>
  </si>
  <si>
    <t>Date Established</t>
  </si>
  <si>
    <t xml:space="preserve">Governorate </t>
  </si>
  <si>
    <t>Category</t>
  </si>
  <si>
    <t>Score</t>
  </si>
  <si>
    <t>Official District</t>
  </si>
  <si>
    <t>Pyramids FC</t>
  </si>
  <si>
    <t>Cairo</t>
  </si>
  <si>
    <t>Men</t>
  </si>
  <si>
    <t>Tagamoa</t>
  </si>
  <si>
    <t>Zamalek</t>
  </si>
  <si>
    <t>Agouza</t>
  </si>
  <si>
    <t>Al Ahly</t>
  </si>
  <si>
    <t>Tala'e El Gaish</t>
  </si>
  <si>
    <t>Masr El Gedida</t>
  </si>
  <si>
    <t>Al Masry</t>
  </si>
  <si>
    <t>Port Said</t>
  </si>
  <si>
    <t>Al Ittihad</t>
  </si>
  <si>
    <t>Alexandria</t>
  </si>
  <si>
    <t>El Gouna</t>
  </si>
  <si>
    <t xml:space="preserve">Red Sea </t>
  </si>
  <si>
    <t>Zed FC</t>
  </si>
  <si>
    <t>Giza</t>
  </si>
  <si>
    <t>Zayed</t>
  </si>
  <si>
    <t>Ceramica Cleopatra</t>
  </si>
  <si>
    <t>6th of October</t>
  </si>
  <si>
    <t>Modern Sport</t>
  </si>
  <si>
    <t>Nasr City</t>
  </si>
  <si>
    <t>Bank Al Ahly SC</t>
  </si>
  <si>
    <t>Enppi SC</t>
  </si>
  <si>
    <t>Pharco FC</t>
  </si>
  <si>
    <t>Ismaily SC</t>
  </si>
  <si>
    <t xml:space="preserve">Ismailia </t>
  </si>
  <si>
    <t>Smouha SC</t>
  </si>
  <si>
    <t>Petrojet</t>
  </si>
  <si>
    <t>Suez</t>
  </si>
  <si>
    <t xml:space="preserve">Ghazl El Mahalla </t>
  </si>
  <si>
    <t>Gharbia</t>
  </si>
  <si>
    <t>Haras Al Hodoud SC</t>
  </si>
  <si>
    <t>Wadi Degla SC</t>
  </si>
  <si>
    <t>Maadi</t>
  </si>
  <si>
    <t xml:space="preserve">Kahraba' Ismailia </t>
  </si>
  <si>
    <t>Al Mokawloon Al Arab</t>
  </si>
  <si>
    <t>La Viena</t>
  </si>
  <si>
    <t>Beni Suef</t>
  </si>
  <si>
    <t>Sekka El Hadid</t>
  </si>
  <si>
    <t>Tanta</t>
  </si>
  <si>
    <t>Al Qanah</t>
  </si>
  <si>
    <t>Raya</t>
  </si>
  <si>
    <t>Beheira</t>
  </si>
  <si>
    <t>Abo Qir Cement</t>
  </si>
  <si>
    <t>Proxy</t>
  </si>
  <si>
    <t>Assuit Petroleum SC</t>
  </si>
  <si>
    <t>Assiut</t>
  </si>
  <si>
    <t>WE Telecom</t>
  </si>
  <si>
    <t>Aswan</t>
  </si>
  <si>
    <t xml:space="preserve">Aswan </t>
  </si>
  <si>
    <t>Tersana SC</t>
  </si>
  <si>
    <t>Daryot SC</t>
  </si>
  <si>
    <t>Mansoura SC</t>
  </si>
  <si>
    <t>Dakahlia</t>
  </si>
  <si>
    <t>Dakhleya SC</t>
  </si>
  <si>
    <t xml:space="preserve">Cairo </t>
  </si>
  <si>
    <t>Baladiyat El Mahalla</t>
  </si>
  <si>
    <t xml:space="preserve">FC Masar </t>
  </si>
  <si>
    <t>Maleyat Kafr El Zayat SC</t>
  </si>
  <si>
    <t>El Entag El Harby SC</t>
  </si>
  <si>
    <t>El Salam</t>
  </si>
  <si>
    <t xml:space="preserve">Eastern Company </t>
  </si>
  <si>
    <t xml:space="preserve">Giza </t>
  </si>
  <si>
    <t>El Haram</t>
  </si>
  <si>
    <t>Suez SC</t>
  </si>
  <si>
    <t xml:space="preserve">El Obour </t>
  </si>
  <si>
    <t>Qalyubia</t>
  </si>
  <si>
    <t>El Nasr SC</t>
  </si>
  <si>
    <t xml:space="preserve">El Shams </t>
  </si>
  <si>
    <t>El Nozha</t>
  </si>
  <si>
    <t>Al Merreikh SC</t>
  </si>
  <si>
    <t>Al Mustaqbal Sport</t>
  </si>
  <si>
    <t>Port Fouad SC</t>
  </si>
  <si>
    <t>South Sinai SC</t>
  </si>
  <si>
    <t>South Sinai</t>
  </si>
  <si>
    <t>Nejmet Sinai FC</t>
  </si>
  <si>
    <t>North Sinai</t>
  </si>
  <si>
    <t xml:space="preserve">El Sharkia SC </t>
  </si>
  <si>
    <t>Sharkia</t>
  </si>
  <si>
    <t>Team FC</t>
  </si>
  <si>
    <t xml:space="preserve">Misr Insurance </t>
  </si>
  <si>
    <t>G Football Club</t>
  </si>
  <si>
    <t xml:space="preserve">Ittihad el Shorta </t>
  </si>
  <si>
    <t>El Daher</t>
  </si>
  <si>
    <t>Nogoom FC</t>
  </si>
  <si>
    <t xml:space="preserve">Gomhoriat Shebin </t>
  </si>
  <si>
    <t>Menoufia</t>
  </si>
  <si>
    <t xml:space="preserve">Diamond </t>
  </si>
  <si>
    <t xml:space="preserve">El Plastic </t>
  </si>
  <si>
    <t xml:space="preserve">Benha SC </t>
  </si>
  <si>
    <t xml:space="preserve">Sporting </t>
  </si>
  <si>
    <t xml:space="preserve">Alexandria </t>
  </si>
  <si>
    <t>Al Hammam SC</t>
  </si>
  <si>
    <t xml:space="preserve">Matrouh </t>
  </si>
  <si>
    <t>Egy EL Helal</t>
  </si>
  <si>
    <t>Olympic Club</t>
  </si>
  <si>
    <t>Al Magd Club</t>
  </si>
  <si>
    <t>Zohour Club</t>
  </si>
  <si>
    <t>Delphi Club</t>
  </si>
  <si>
    <t>Horse Owners Club</t>
  </si>
  <si>
    <t xml:space="preserve">Youth Center Kom Hamada </t>
  </si>
  <si>
    <t xml:space="preserve">Beheira </t>
  </si>
  <si>
    <t xml:space="preserve">Fleet Club </t>
  </si>
  <si>
    <t>Al Jazeera SC</t>
  </si>
  <si>
    <t xml:space="preserve">Damanhour Club </t>
  </si>
  <si>
    <t xml:space="preserve">Kafr El Sheikh </t>
  </si>
  <si>
    <t>Kafr El Sheikh</t>
  </si>
  <si>
    <t>Bilqas Club</t>
  </si>
  <si>
    <t xml:space="preserve">Nabarouh Club </t>
  </si>
  <si>
    <t>Biyala SC</t>
  </si>
  <si>
    <t>Pioneers Club</t>
  </si>
  <si>
    <t xml:space="preserve">Damietta Club </t>
  </si>
  <si>
    <t xml:space="preserve">Damietta </t>
  </si>
  <si>
    <t>AZ Zarqa</t>
  </si>
  <si>
    <t>Al Sayd Club</t>
  </si>
  <si>
    <t xml:space="preserve">Bani Ubayd </t>
  </si>
  <si>
    <t>Tala Youth Center</t>
  </si>
  <si>
    <t>Dekernes SC</t>
  </si>
  <si>
    <t>Al Nasr Lel Taa'den</t>
  </si>
  <si>
    <t>Kima Aswan SC</t>
  </si>
  <si>
    <t>Tahta SC</t>
  </si>
  <si>
    <t>Sohag</t>
  </si>
  <si>
    <t>Sohag Youth Center</t>
  </si>
  <si>
    <t>Luxor SC</t>
  </si>
  <si>
    <t>Luxor</t>
  </si>
  <si>
    <t>Al Madinah Al Munawarah</t>
  </si>
  <si>
    <t>Muslim Youth in Qena</t>
  </si>
  <si>
    <t>Qena</t>
  </si>
  <si>
    <t>Al Aluminium SC</t>
  </si>
  <si>
    <t>Qus SC</t>
  </si>
  <si>
    <t>Makadi FC</t>
  </si>
  <si>
    <t>Telephonat Beni Suef FC</t>
  </si>
  <si>
    <t>Negoom Masr</t>
  </si>
  <si>
    <t>Misr Lel Makkasa SC</t>
  </si>
  <si>
    <t>Fayoum</t>
  </si>
  <si>
    <t>Tamiya Youth Center</t>
  </si>
  <si>
    <t>Fayoum FC</t>
  </si>
  <si>
    <t>El Minya SC</t>
  </si>
  <si>
    <t xml:space="preserve">Minya </t>
  </si>
  <si>
    <t>Al Wasta SC</t>
  </si>
  <si>
    <t xml:space="preserve">Beni Mazar club </t>
  </si>
  <si>
    <t>Assuit Cement FC</t>
  </si>
  <si>
    <t>Al Badari SC</t>
  </si>
  <si>
    <t>Women</t>
  </si>
  <si>
    <t>Wadi Degla</t>
  </si>
  <si>
    <t>Palm Hills</t>
  </si>
  <si>
    <t xml:space="preserve">Modern Sport </t>
  </si>
  <si>
    <t>Al Tayaran</t>
  </si>
  <si>
    <t>Ittihad Basyoun</t>
  </si>
  <si>
    <t>FC Masar</t>
  </si>
  <si>
    <t>Red Sea</t>
  </si>
  <si>
    <t xml:space="preserve">Sak </t>
  </si>
  <si>
    <t>Ra SC</t>
  </si>
  <si>
    <t>El Waili</t>
  </si>
  <si>
    <t>Helwan University</t>
  </si>
  <si>
    <t xml:space="preserve">Futsal </t>
  </si>
  <si>
    <t>Helwan</t>
  </si>
  <si>
    <t>Shooting Club Al Dokki</t>
  </si>
  <si>
    <t>Dokki</t>
  </si>
  <si>
    <t xml:space="preserve">Sukar Al Hawamdiya </t>
  </si>
  <si>
    <t>Hawamdiya</t>
  </si>
  <si>
    <t>Minya</t>
  </si>
  <si>
    <t>Ismailia</t>
  </si>
  <si>
    <t>Muslim Youth of Assuit</t>
  </si>
  <si>
    <t>Minya City Youth Center</t>
  </si>
  <si>
    <t>Kerdasa Youth Center</t>
  </si>
  <si>
    <t>Kerdasa</t>
  </si>
  <si>
    <t>Media SC</t>
  </si>
  <si>
    <t>Cairo Electricity SC</t>
  </si>
  <si>
    <t>Shobra Masr</t>
  </si>
  <si>
    <t>Governorate</t>
  </si>
  <si>
    <t>Population</t>
  </si>
  <si>
    <t>Area (km2)</t>
  </si>
  <si>
    <t>Density (km2)</t>
  </si>
  <si>
    <t>GDP (PPP)</t>
  </si>
  <si>
    <t>GDP per capita</t>
  </si>
  <si>
    <t>Density_Z</t>
  </si>
  <si>
    <t>GDP_Z</t>
  </si>
  <si>
    <t>GDP per capita_Z</t>
  </si>
  <si>
    <t>Economic P</t>
  </si>
  <si>
    <t>Sporting Rep</t>
  </si>
  <si>
    <t>Premier League</t>
  </si>
  <si>
    <t>Div2</t>
  </si>
  <si>
    <t>Div 3</t>
  </si>
  <si>
    <t>Womens</t>
  </si>
  <si>
    <t>Futsal</t>
  </si>
  <si>
    <t>Rep_Z</t>
  </si>
  <si>
    <t>Premier League-Z</t>
  </si>
  <si>
    <t>Div_Z</t>
  </si>
  <si>
    <t>Div3_Z</t>
  </si>
  <si>
    <t>Womens_Z</t>
  </si>
  <si>
    <t>Futsal_Z</t>
  </si>
  <si>
    <t>Football Index</t>
  </si>
  <si>
    <t>Overperformance Index</t>
  </si>
  <si>
    <t>Damietta</t>
  </si>
  <si>
    <t>Matrouh</t>
  </si>
  <si>
    <t>New Valley</t>
  </si>
  <si>
    <t xml:space="preserve">North Sinai </t>
  </si>
  <si>
    <t xml:space="preserve">South Sinai </t>
  </si>
  <si>
    <t>Total</t>
  </si>
  <si>
    <t>Greater Cairo District Populations</t>
  </si>
  <si>
    <t>District</t>
  </si>
  <si>
    <t>Area km2</t>
  </si>
  <si>
    <t>Density</t>
  </si>
  <si>
    <t>Shobra El Kheima</t>
  </si>
  <si>
    <t>Qalyoubeya</t>
  </si>
  <si>
    <t>Bolaq El Dakrour</t>
  </si>
  <si>
    <t>El Marg</t>
  </si>
  <si>
    <t>El Waraq</t>
  </si>
  <si>
    <t>Madinet Nasr</t>
  </si>
  <si>
    <t>Imbaba</t>
  </si>
  <si>
    <t>Ain Shams</t>
  </si>
  <si>
    <t>El Matareya</t>
  </si>
  <si>
    <t>Toukh</t>
  </si>
  <si>
    <t>Markaz El Khanka</t>
  </si>
  <si>
    <t>El Badrashin</t>
  </si>
  <si>
    <t>Markaz Qalyoub</t>
  </si>
  <si>
    <t>Manshyet El Qanater</t>
  </si>
  <si>
    <t>Shebin El Qanater</t>
  </si>
  <si>
    <t>Dar El Salam</t>
  </si>
  <si>
    <t>El Ayyat</t>
  </si>
  <si>
    <t>El Qanater</t>
  </si>
  <si>
    <t>El Basatin</t>
  </si>
  <si>
    <t>Markaz Banha</t>
  </si>
  <si>
    <t>El Khosous</t>
  </si>
  <si>
    <t>El Saff</t>
  </si>
  <si>
    <t>6th of Oct + Zayed</t>
  </si>
  <si>
    <t>Awsim</t>
  </si>
  <si>
    <t>Atfeeh</t>
  </si>
  <si>
    <t>Abo El Nomros</t>
  </si>
  <si>
    <t>El Zawya</t>
  </si>
  <si>
    <t>El Hadayeq</t>
  </si>
  <si>
    <t>El Giza</t>
  </si>
  <si>
    <t>El Agouza</t>
  </si>
  <si>
    <t>Al Masara</t>
  </si>
  <si>
    <t>Mansheyet Nasser</t>
  </si>
  <si>
    <t>Masr El Qadima</t>
  </si>
  <si>
    <t>Tora</t>
  </si>
  <si>
    <t>El Mokattam</t>
  </si>
  <si>
    <t>El Hawamdeya</t>
  </si>
  <si>
    <t>Kafr Shokr</t>
  </si>
  <si>
    <t>El Sharabeya</t>
  </si>
  <si>
    <t>Banha</t>
  </si>
  <si>
    <t>El Zeitoun</t>
  </si>
  <si>
    <t>El Amireya</t>
  </si>
  <si>
    <t>Qalyoub</t>
  </si>
  <si>
    <t>El Sayeda Zeinab</t>
  </si>
  <si>
    <t>El Obour</t>
  </si>
  <si>
    <t>El Khalifa</t>
  </si>
  <si>
    <t>15 Mayo</t>
  </si>
  <si>
    <t>El Shorouk</t>
  </si>
  <si>
    <t>Al Tibin</t>
  </si>
  <si>
    <t>El Khanka</t>
  </si>
  <si>
    <t>El Dokki</t>
  </si>
  <si>
    <t>El Darb El Ahmar</t>
  </si>
  <si>
    <t>Aha</t>
  </si>
  <si>
    <t>Bolaq</t>
  </si>
  <si>
    <t>Bab El Shereya</t>
  </si>
  <si>
    <t>El Waahat</t>
  </si>
  <si>
    <t>Abdin</t>
  </si>
  <si>
    <t>El Gamaleya</t>
  </si>
  <si>
    <t>Badr</t>
  </si>
  <si>
    <t>El Azbakeya</t>
  </si>
  <si>
    <t>El Moski</t>
  </si>
  <si>
    <t>Qasr El Nil</t>
  </si>
  <si>
    <t>We added 6th Oct+ Zayed, Ahram/Talbeya/Omraneya, Rod El Farag/Shobra/El Sahel, Madinet Nasr as well.</t>
  </si>
  <si>
    <t>Player</t>
  </si>
  <si>
    <t>Birthdate</t>
  </si>
  <si>
    <t>City/Markaz</t>
  </si>
  <si>
    <t>Birth month</t>
  </si>
  <si>
    <t>Wael Gomaa</t>
  </si>
  <si>
    <t>3/Aug/1975</t>
  </si>
  <si>
    <t>Qotoor</t>
  </si>
  <si>
    <t>Gharbeya</t>
  </si>
  <si>
    <t>Mohamed Homos</t>
  </si>
  <si>
    <t>1/Jan/1979</t>
  </si>
  <si>
    <t>Abdelwahed El Sayed</t>
  </si>
  <si>
    <t>3/June/1979</t>
  </si>
  <si>
    <t>Tala</t>
  </si>
  <si>
    <t>Monofeya</t>
  </si>
  <si>
    <t>Ahmed Hassan</t>
  </si>
  <si>
    <t>2/May/1975</t>
  </si>
  <si>
    <t>Maghagha</t>
  </si>
  <si>
    <t>El Sayed Hamdy</t>
  </si>
  <si>
    <t>1/March/1984</t>
  </si>
  <si>
    <t>Abo Gendir</t>
  </si>
  <si>
    <t>Mahmoud AbolSoud</t>
  </si>
  <si>
    <t>30/Nov/1987</t>
  </si>
  <si>
    <t>Mansoura</t>
  </si>
  <si>
    <t>Dakahleya</t>
  </si>
  <si>
    <t>Ahmed AbdelGhani</t>
  </si>
  <si>
    <t>1/Dec/1981</t>
  </si>
  <si>
    <t>-</t>
  </si>
  <si>
    <t>Ahmed Shaaban</t>
  </si>
  <si>
    <t>10/Oct/1978</t>
  </si>
  <si>
    <t>Omar Gamal</t>
  </si>
  <si>
    <t>16/Sept/1982</t>
  </si>
  <si>
    <t>Samalout</t>
  </si>
  <si>
    <t>Shady Mohamed</t>
  </si>
  <si>
    <t>29/Nov/1977</t>
  </si>
  <si>
    <t>Ahmed Raouf</t>
  </si>
  <si>
    <t>15/Sept/1982</t>
  </si>
  <si>
    <t>Mohamed Shawky</t>
  </si>
  <si>
    <t>5/Oct/1981</t>
  </si>
  <si>
    <t>Mohamed Aboutrika</t>
  </si>
  <si>
    <t>7/Nov/1978</t>
  </si>
  <si>
    <t>Nahia</t>
  </si>
  <si>
    <t>Ahmed Samir Farag</t>
  </si>
  <si>
    <t>20/May/1986</t>
  </si>
  <si>
    <t>Qanater</t>
  </si>
  <si>
    <t>Ahmed Khairy</t>
  </si>
  <si>
    <t>1/Oct/1987</t>
  </si>
  <si>
    <t>Sharqia</t>
  </si>
  <si>
    <t>Ibrahim Said</t>
  </si>
  <si>
    <t>16/Oct/1979</t>
  </si>
  <si>
    <t>Mohamed Sobhy</t>
  </si>
  <si>
    <t>30/Aug/1981</t>
  </si>
  <si>
    <t>Tall El Kebir</t>
  </si>
  <si>
    <t>Mohamed Mohsen AbouGreisha</t>
  </si>
  <si>
    <t>4/Aug/1981</t>
  </si>
  <si>
    <t>Tarek El Sayed</t>
  </si>
  <si>
    <t>9/Oct/1978</t>
  </si>
  <si>
    <t>Mohamed El Shenawy</t>
  </si>
  <si>
    <t>18/Dec/1988</t>
  </si>
  <si>
    <t>El Hamool</t>
  </si>
  <si>
    <t>Mohamed Abdelmonem</t>
  </si>
  <si>
    <t>1/Feb/1999</t>
  </si>
  <si>
    <t>Zaqaziq</t>
  </si>
  <si>
    <t>Omar Kamal</t>
  </si>
  <si>
    <t>29/Sept/1993</t>
  </si>
  <si>
    <t>Emam Ashour</t>
  </si>
  <si>
    <t>20/Feb/1998</t>
  </si>
  <si>
    <t>El Senbelwain</t>
  </si>
  <si>
    <t>Mohamed Abou Gabal</t>
  </si>
  <si>
    <t>29/Jan/1989</t>
  </si>
  <si>
    <t>Asyut</t>
  </si>
  <si>
    <t>Mohanad Lashin</t>
  </si>
  <si>
    <t>29/May/1996</t>
  </si>
  <si>
    <t>Mahmoud Alaa</t>
  </si>
  <si>
    <t>28/Jan/1991</t>
  </si>
  <si>
    <t>Kafr Sheikh Makhlouf</t>
  </si>
  <si>
    <t>15/July/1999</t>
  </si>
  <si>
    <t>Mahmoud Gad</t>
  </si>
  <si>
    <t>1/Oct/1998</t>
  </si>
  <si>
    <t>Ibrahim Adel</t>
  </si>
  <si>
    <t>23/April/2001</t>
  </si>
  <si>
    <t>Amr El Solia</t>
  </si>
  <si>
    <t>2/April/1990</t>
  </si>
  <si>
    <t>Ahmed Fatouh</t>
  </si>
  <si>
    <t>22/March/1998</t>
  </si>
  <si>
    <t>Ahmed Sayed Zizo</t>
  </si>
  <si>
    <t>10/Jan/1996</t>
  </si>
  <si>
    <t>Omar Marmoush</t>
  </si>
  <si>
    <t>7/Feb/1999</t>
  </si>
  <si>
    <t>Akram Tawfik</t>
  </si>
  <si>
    <t>8/Nov/1997</t>
  </si>
  <si>
    <t>Kafr Saqr</t>
  </si>
  <si>
    <t>Marwan Dawood</t>
  </si>
  <si>
    <t>27/Aug/1997</t>
  </si>
  <si>
    <t>Marwan Hamdy</t>
  </si>
  <si>
    <t>15/Nov/1996</t>
  </si>
  <si>
    <t>Hamdy Fathy</t>
  </si>
  <si>
    <t>29/Sept/1994</t>
  </si>
  <si>
    <t>Damanhour</t>
  </si>
  <si>
    <t>Ahmed Hegazi</t>
  </si>
  <si>
    <t>25/Jan/1991</t>
  </si>
  <si>
    <t>Ramadan Sobhi</t>
  </si>
  <si>
    <t>23/Jan/1997</t>
  </si>
  <si>
    <t>Ard El Lewa</t>
  </si>
  <si>
    <t>Ayman Ashraf</t>
  </si>
  <si>
    <t>9/April/1991</t>
  </si>
  <si>
    <t>Mostafa Mohamed</t>
  </si>
  <si>
    <t>28/Nov/1997</t>
  </si>
  <si>
    <t>Mahmoud Hamdy El Wensh</t>
  </si>
  <si>
    <t>1/June/1995</t>
  </si>
  <si>
    <t>Benha</t>
  </si>
  <si>
    <t>Mohamed Sherif</t>
  </si>
  <si>
    <t>4/Feb/1996</t>
  </si>
  <si>
    <t>Abdallah El Said</t>
  </si>
  <si>
    <t>13/July/1985</t>
  </si>
  <si>
    <t>Trezeguet</t>
  </si>
  <si>
    <t>1/Oct/1994</t>
  </si>
  <si>
    <t>Mohamed Elneny</t>
  </si>
  <si>
    <t>11/July/1992</t>
  </si>
  <si>
    <t>Mahalla</t>
  </si>
  <si>
    <t>Mohamed Salah</t>
  </si>
  <si>
    <t>15/June/1992</t>
  </si>
  <si>
    <t>Negrig</t>
  </si>
  <si>
    <t>Ahmed El Shenawy</t>
  </si>
  <si>
    <t>14/May/1991</t>
  </si>
  <si>
    <t>Baher El Mohamady</t>
  </si>
  <si>
    <t>26/Dec/1996</t>
  </si>
  <si>
    <t>Ahmed El Mohamady</t>
  </si>
  <si>
    <t>9/Sept/1987</t>
  </si>
  <si>
    <t>Omar Gaber</t>
  </si>
  <si>
    <t>30/Jan/1992</t>
  </si>
  <si>
    <t>Ali Ghazal</t>
  </si>
  <si>
    <t>1/Feb/1992</t>
  </si>
  <si>
    <t>Tarek Hamed</t>
  </si>
  <si>
    <t>24/Oct/1988</t>
  </si>
  <si>
    <t>Marwan Mohsen</t>
  </si>
  <si>
    <t>26/Feb/1989</t>
  </si>
  <si>
    <t>Walid Soliman</t>
  </si>
  <si>
    <t>1/Dec/1984</t>
  </si>
  <si>
    <t>Bani Mazar</t>
  </si>
  <si>
    <t>Ahmed Ayman Mansour</t>
  </si>
  <si>
    <t>13/April/1994</t>
  </si>
  <si>
    <t>Ahmed Ali Kamel</t>
  </si>
  <si>
    <t>21/May/1986</t>
  </si>
  <si>
    <t>Shebin El Kom</t>
  </si>
  <si>
    <t>Ahmed Hassan Kouka</t>
  </si>
  <si>
    <t>5/March/1993</t>
  </si>
  <si>
    <t>Nabil Emad Donga</t>
  </si>
  <si>
    <t>6/April/1996</t>
  </si>
  <si>
    <t>Amr Warda</t>
  </si>
  <si>
    <t>17/Sept/1993</t>
  </si>
  <si>
    <t>Mahmoud Genesh</t>
  </si>
  <si>
    <t>25/May/1987</t>
  </si>
  <si>
    <t>Essam El Hadary</t>
  </si>
  <si>
    <t>15/Jan/1973</t>
  </si>
  <si>
    <t>Kafr El Batikh</t>
  </si>
  <si>
    <t>Ali Gabr</t>
  </si>
  <si>
    <t>1/Jan/1989</t>
  </si>
  <si>
    <t>Sam Morsy</t>
  </si>
  <si>
    <t>N/A</t>
  </si>
  <si>
    <t>Ahmed Fathy</t>
  </si>
  <si>
    <t>10/Nov/1984</t>
  </si>
  <si>
    <t>Kahraba</t>
  </si>
  <si>
    <t>Masr El Adeema</t>
  </si>
  <si>
    <t>Mohamed Abdelshafy</t>
  </si>
  <si>
    <t>1/July/1985</t>
  </si>
  <si>
    <t>Shikabala</t>
  </si>
  <si>
    <t>5/March/1996</t>
  </si>
  <si>
    <t>Saad Samir</t>
  </si>
  <si>
    <t>1/April/1989</t>
  </si>
  <si>
    <t>Ibrahim Salah</t>
  </si>
  <si>
    <t>1/April/1987</t>
  </si>
  <si>
    <t>Ahmed Dowidar</t>
  </si>
  <si>
    <t>29/Oct/1987</t>
  </si>
  <si>
    <t>Karim Hafez</t>
  </si>
  <si>
    <t>12/March/1996</t>
  </si>
  <si>
    <t>Sherif Ekramy</t>
  </si>
  <si>
    <t>10/July/1993</t>
  </si>
  <si>
    <t>Mahmoud Fathalla</t>
  </si>
  <si>
    <t>13/Feb/1982</t>
  </si>
  <si>
    <t>Aga</t>
  </si>
  <si>
    <t>Moatasem Salem</t>
  </si>
  <si>
    <t>2/Sept/1980</t>
  </si>
  <si>
    <t>Abdelzaher El Saqa</t>
  </si>
  <si>
    <t>30/Jan/1974</t>
  </si>
  <si>
    <t>Hani Said</t>
  </si>
  <si>
    <t>22/April/1980</t>
  </si>
  <si>
    <t>Hosny Abd Rabo</t>
  </si>
  <si>
    <t>1/Nov/1984,</t>
  </si>
  <si>
    <t>Mohamed Zidan</t>
  </si>
  <si>
    <t>11/Dec/1981</t>
  </si>
  <si>
    <t>Emad Moteb</t>
  </si>
  <si>
    <t>20/Feb/1983</t>
  </si>
  <si>
    <t>Belbeis</t>
  </si>
  <si>
    <t>Ahmed Eid Abdelmalek</t>
  </si>
  <si>
    <t>15/May/1980</t>
  </si>
  <si>
    <t>Hossam Ghaly</t>
  </si>
  <si>
    <t>15/Dec/1981</t>
  </si>
  <si>
    <t>Biyala</t>
  </si>
  <si>
    <t>Abdelaziz Tawfik</t>
  </si>
  <si>
    <t>24/May/1986</t>
  </si>
  <si>
    <t>Sayed Moawad</t>
  </si>
  <si>
    <t>25/May/1979</t>
  </si>
  <si>
    <t>Gedo</t>
  </si>
  <si>
    <t>30/Oct/1984</t>
  </si>
  <si>
    <t>Amr Zaki</t>
  </si>
  <si>
    <t>1/April/1983</t>
  </si>
  <si>
    <t>Hassan Mostafa</t>
  </si>
  <si>
    <t>20/Nov/1979</t>
  </si>
  <si>
    <t>Waraq</t>
  </si>
  <si>
    <t>Mohamed Fadl</t>
  </si>
  <si>
    <t>21/July/1981</t>
  </si>
  <si>
    <t>Mohamed Abdelwahab</t>
  </si>
  <si>
    <t>1/Oct/1983</t>
  </si>
  <si>
    <t>Moataz Eno</t>
  </si>
  <si>
    <t>8/Aug/1984</t>
  </si>
  <si>
    <t>Hossam Hassan</t>
  </si>
  <si>
    <t>10/Aug/1966</t>
  </si>
  <si>
    <t>Mohamed Barakat</t>
  </si>
  <si>
    <t>7/Sept/1976</t>
  </si>
  <si>
    <t>Abdelhalim Ali</t>
  </si>
  <si>
    <t>24/Oct/1973</t>
  </si>
  <si>
    <t>Omraniya</t>
  </si>
  <si>
    <t>Ahmed Hossam Mido</t>
  </si>
  <si>
    <t>23/Feb/1983</t>
  </si>
  <si>
    <t>Ibrahim Hassan</t>
  </si>
  <si>
    <t>Nader El Sayed</t>
  </si>
  <si>
    <t>31/Dec/1972</t>
  </si>
  <si>
    <t>Bani Ebeied</t>
  </si>
  <si>
    <t>Wael El Qabani</t>
  </si>
  <si>
    <t>2/Sept/1976</t>
  </si>
  <si>
    <t>Bahtim</t>
  </si>
  <si>
    <t>Emad El Nahhas</t>
  </si>
  <si>
    <t>15/Feb/1976</t>
  </si>
  <si>
    <t>Tamer Abdelhamid</t>
  </si>
  <si>
    <t>27/Oct/1975</t>
  </si>
  <si>
    <t>Ahmed Belal</t>
  </si>
  <si>
    <t>20/Aug/1980</t>
  </si>
  <si>
    <t>Diyarb Negm</t>
  </si>
  <si>
    <t>Tarek El Said</t>
  </si>
  <si>
    <t>5/April/1978</t>
  </si>
  <si>
    <t>Hazem Emam</t>
  </si>
  <si>
    <t>10/May/1975</t>
  </si>
  <si>
    <t>Beshir El Tabei</t>
  </si>
  <si>
    <t>24/Feb/1976</t>
  </si>
  <si>
    <t>Hady Khashaba</t>
  </si>
  <si>
    <t>19/Dec/1972</t>
  </si>
  <si>
    <t>Amr Fahim</t>
  </si>
  <si>
    <t>4/Oct/1976</t>
  </si>
  <si>
    <t>Mohamed Emara</t>
  </si>
  <si>
    <t>10/June/1974</t>
  </si>
  <si>
    <t>Hany Ramzy</t>
  </si>
  <si>
    <t>10/March/1969</t>
  </si>
  <si>
    <t>Abdeen</t>
  </si>
  <si>
    <t>Khaled Bebo</t>
  </si>
  <si>
    <t>6/Oct/1976</t>
  </si>
  <si>
    <t>Yasser Radwan</t>
  </si>
  <si>
    <t>22/Oct/1972</t>
  </si>
  <si>
    <t>Gamal Hamza</t>
  </si>
  <si>
    <t>5/Dec/1981</t>
  </si>
  <si>
    <t>Ahmed Salah Hosny</t>
  </si>
  <si>
    <t>11/July/1979</t>
  </si>
  <si>
    <t>Mohamed AboulEla</t>
  </si>
  <si>
    <t>16/Jan/1980</t>
  </si>
  <si>
    <t>Sayed AbdelHafiz</t>
  </si>
  <si>
    <t>27/Oct/1977</t>
  </si>
  <si>
    <t>Mohamed Youssef</t>
  </si>
  <si>
    <t>9/Oct/1970</t>
  </si>
  <si>
    <t>AbdelSatar Sabry</t>
  </si>
  <si>
    <t>19/June/1974</t>
  </si>
  <si>
    <t>Mohamed Farouk</t>
  </si>
  <si>
    <t>10/Sept/1978</t>
  </si>
  <si>
    <t>Ayman Abdelaziz</t>
  </si>
  <si>
    <t>28/Nov/1978</t>
  </si>
  <si>
    <t>Hossam AbdelMoneim</t>
  </si>
  <si>
    <t>12/Feb/1975</t>
  </si>
  <si>
    <t>Mit Ghamr</t>
  </si>
  <si>
    <t>Samir Kamouna</t>
  </si>
  <si>
    <t>2/April/1972</t>
  </si>
  <si>
    <t>Medhat Abdelhady</t>
  </si>
  <si>
    <t>12/July/1972</t>
  </si>
  <si>
    <t>Yasser Rayyan</t>
  </si>
  <si>
    <t>26/March/1970</t>
  </si>
  <si>
    <t>AbdelHamid Bassyouny</t>
  </si>
  <si>
    <t>12/March/1972</t>
  </si>
  <si>
    <t>Walid Salah El Din</t>
  </si>
  <si>
    <t>27/Oct/1971</t>
  </si>
  <si>
    <t>Walid Salah Abdellatif</t>
  </si>
  <si>
    <t>11/Nov/1977</t>
  </si>
  <si>
    <t>Tarek Mostafa</t>
  </si>
  <si>
    <t>1/April/1971</t>
  </si>
  <si>
    <t>Osama Nabih</t>
  </si>
  <si>
    <t>20/Jan/1975</t>
  </si>
  <si>
    <t>Essam Abdelazim</t>
  </si>
  <si>
    <t>1/Nov/1970</t>
  </si>
  <si>
    <t>Fawzi Gamal</t>
  </si>
  <si>
    <t>23/Oct/1966</t>
  </si>
  <si>
    <t>Hamza El Gamal</t>
  </si>
  <si>
    <t>2/March/1970</t>
  </si>
  <si>
    <t>Mohamed Kamouna</t>
  </si>
  <si>
    <t>13/June/1969</t>
  </si>
  <si>
    <t>Ismail Youssef</t>
  </si>
  <si>
    <t>28/June/1964</t>
  </si>
  <si>
    <t>Magdy Tolba</t>
  </si>
  <si>
    <t>24/Dec/1964</t>
  </si>
  <si>
    <t>Mohamed Salah AbouGreisha</t>
  </si>
  <si>
    <t>1/Jan/1970</t>
  </si>
  <si>
    <t>Ahmed El-Kass</t>
  </si>
  <si>
    <t>8/July/1965</t>
  </si>
  <si>
    <t>Ali Maher</t>
  </si>
  <si>
    <t>3/Dec/1973</t>
  </si>
  <si>
    <t>Ahmed Koshary</t>
  </si>
  <si>
    <t>8/Jan/1973</t>
  </si>
  <si>
    <t>Ibrahim El Masry</t>
  </si>
  <si>
    <t>19/Aug/1971</t>
  </si>
  <si>
    <t>Saafane El Saghir</t>
  </si>
  <si>
    <t>7/Jan/1968</t>
  </si>
  <si>
    <t>Hussein El Sayed</t>
  </si>
  <si>
    <t>13/Dec/1964</t>
  </si>
  <si>
    <t>Ahmed Shobair</t>
  </si>
  <si>
    <t>28/Sept/1960</t>
  </si>
  <si>
    <t>Ashraf Kassem</t>
  </si>
  <si>
    <t>25/July/1966</t>
  </si>
  <si>
    <t>Reda AbdelAal</t>
  </si>
  <si>
    <t>15/March/1965</t>
  </si>
  <si>
    <t>Khaled El Ghandour</t>
  </si>
  <si>
    <t>27/July/1970</t>
  </si>
  <si>
    <t>Fekri El Saghir</t>
  </si>
  <si>
    <t>Ayman Mansour</t>
  </si>
  <si>
    <t>9/Sept/1963</t>
  </si>
  <si>
    <t>Mohamed Ramadan</t>
  </si>
  <si>
    <t>11/Sept/1970</t>
  </si>
  <si>
    <t>Beshir AbdelSamad</t>
  </si>
  <si>
    <t>20/Aug/1966</t>
  </si>
  <si>
    <t>Ahmed Ramzy</t>
  </si>
  <si>
    <t>25/July/1965</t>
  </si>
  <si>
    <t>Hesham Yakan</t>
  </si>
  <si>
    <t>10/Aug/1962</t>
  </si>
  <si>
    <t>Rabie Yassin</t>
  </si>
  <si>
    <t>7/Sept/1960</t>
  </si>
  <si>
    <t>Mohamed Azeema</t>
  </si>
  <si>
    <t>17/Oct/1968</t>
  </si>
  <si>
    <t>Magdi Abdelghani</t>
  </si>
  <si>
    <t>27/July/1959</t>
  </si>
  <si>
    <t>Tarek Soliman</t>
  </si>
  <si>
    <t>24/Jan/1962</t>
  </si>
  <si>
    <t>Gamal Abdelhamid</t>
  </si>
  <si>
    <t>24/Nov/1957</t>
  </si>
  <si>
    <t>Khaled Eid</t>
  </si>
  <si>
    <t>Taher Abozeid</t>
  </si>
  <si>
    <t>10/April/1962</t>
  </si>
  <si>
    <t>Alaa Mayhoub</t>
  </si>
  <si>
    <t>19/Jan/1963</t>
  </si>
  <si>
    <t>Hawamdeya</t>
  </si>
  <si>
    <t>Osama Orabi</t>
  </si>
  <si>
    <t>25/Jan/1962</t>
  </si>
  <si>
    <t>Thabit El Batal</t>
  </si>
  <si>
    <t>19/Sept/1953</t>
  </si>
  <si>
    <t>Hamada Sedki</t>
  </si>
  <si>
    <t>25/Aug/1961</t>
  </si>
  <si>
    <t>Shawki Gharib</t>
  </si>
  <si>
    <t>26/Feb/1959</t>
  </si>
  <si>
    <t>Tarek Yehia</t>
  </si>
  <si>
    <t>10/Sept/1961</t>
  </si>
  <si>
    <t>Ayman Younes</t>
  </si>
  <si>
    <t>20/Feb/1964</t>
  </si>
  <si>
    <t>Emad Soliman</t>
  </si>
  <si>
    <t>23/July/1959</t>
  </si>
  <si>
    <t>Mostafa Abdo</t>
  </si>
  <si>
    <t>10/June/1953</t>
  </si>
  <si>
    <t>Mohamed Omar</t>
  </si>
  <si>
    <t>3/Sept/1958</t>
  </si>
  <si>
    <t>Mohamed Hazem</t>
  </si>
  <si>
    <t>Mahmoud El Khatib</t>
  </si>
  <si>
    <t>30/Oct/1954</t>
  </si>
  <si>
    <t>Yasser Ibrahim</t>
  </si>
  <si>
    <t>10/Feb/1993</t>
  </si>
  <si>
    <t>Ali Shehhata</t>
  </si>
  <si>
    <t>25/April/1959</t>
  </si>
  <si>
    <t>Nasser El Telees</t>
  </si>
  <si>
    <t>Islam Fathi</t>
  </si>
  <si>
    <t>Ayman Raggab</t>
  </si>
  <si>
    <t>Talaat Mansour</t>
  </si>
  <si>
    <t>Ahmed Said Oka</t>
  </si>
  <si>
    <t>Shobra</t>
  </si>
  <si>
    <t>Ayman Shawki</t>
  </si>
  <si>
    <t>Saber Eid</t>
  </si>
  <si>
    <t>Mohamed Hany</t>
  </si>
  <si>
    <t>Marwan Attia</t>
  </si>
  <si>
    <t>Kafr El Dawwar</t>
  </si>
  <si>
    <t>Mostafa Fathi</t>
  </si>
  <si>
    <t>Mahmoud Hamada</t>
  </si>
  <si>
    <t>Ahmed Samy</t>
  </si>
  <si>
    <t>Khaled Sobhy</t>
  </si>
  <si>
    <t>Hossam AbdelMeguid</t>
  </si>
  <si>
    <t>Sayeda Zeinab</t>
  </si>
  <si>
    <t>Salah Mohsen</t>
  </si>
  <si>
    <t>Zagazig</t>
  </si>
  <si>
    <t>Mohamed Hamdi</t>
  </si>
  <si>
    <t>Mohamed Shehata</t>
  </si>
  <si>
    <t>Osama Faisal</t>
  </si>
  <si>
    <t>Kafr El Mayasra</t>
  </si>
  <si>
    <t>Ahmed Eid</t>
  </si>
  <si>
    <t>Tamia</t>
  </si>
  <si>
    <t>Mohamed Ismail</t>
  </si>
  <si>
    <t>August</t>
  </si>
  <si>
    <t>Mostafa Shobeir</t>
  </si>
  <si>
    <t>Mahmoud Saber</t>
  </si>
  <si>
    <t>Dessouk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</si>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</sst>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\ mmmm"/>
    <numFmt numFmtId="165" formatCode="0.0"/>
    <numFmt numFmtId="166" formatCode="#,##0.000"/>
    <numFmt numFmtId="167" formatCode="0.000"/>
    <numFmt numFmtId="168" formatCode="#,##0.0#"/>
    <numFmt numFmtId="169" formatCode="mmmm"/>
    <numFmt numFmtId="170" formatCode="d\ mmm\ yy"/>
  </numFmts>
  <fonts count="13">
    <font>
      <sz val="10"/>
      <color rgb="FF000000"/>
      <name val="Arial"/>
      <scheme val="minor"/>
    </font>
    <font>
      <b/>
      <sz val="9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1"/>
      <color rgb="FF000000"/>
      <name val="Arial"/>
    </font>
    <font>
      <b/>
      <sz val="10"/>
      <color rgb="FF000000"/>
      <name val="Arial"/>
      <scheme val="minor"/>
    </font>
    <font>
      <b/>
      <sz val="17"/>
      <color indexed="8"/>
      <name val="Georgia"/>
    </font>
    <font>
      <b/>
      <sz val="10"/>
      <color indexed="8"/>
      <name val="Helvetica Neue"/>
    </font>
    <font>
      <b/>
      <sz val="10"/>
      <color indexed="12"/>
      <name val="Helvetica Neue"/>
    </font>
    <font>
      <i/>
      <sz val="10"/>
      <color indexed="14"/>
      <name val="Helvetica Neue"/>
    </font>
    <font>
      <b/>
      <sz val="10"/>
      <color indexed="8"/>
      <name val="Helvetica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2" borderId="0" xfId="0" applyFont="1" applyFill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3" borderId="0" xfId="0" applyFont="1" applyFill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4" fillId="0" borderId="0" xfId="0" applyFont="1"/>
    <xf numFmtId="0" fontId="3" fillId="0" borderId="0" xfId="0" applyFont="1"/>
    <xf numFmtId="0" fontId="3" fillId="2" borderId="0" xfId="0" applyFont="1" applyFill="1"/>
    <xf numFmtId="3" fontId="5" fillId="0" borderId="0" xfId="0" applyNumberFormat="1" applyFont="1" applyAlignment="1">
      <alignment horizontal="right"/>
    </xf>
    <xf numFmtId="3" fontId="3" fillId="0" borderId="0" xfId="0" applyNumberFormat="1" applyFont="1"/>
    <xf numFmtId="3" fontId="5" fillId="0" borderId="0" xfId="0" applyNumberFormat="1" applyFont="1"/>
    <xf numFmtId="0" fontId="6" fillId="0" borderId="0" xfId="0" applyFont="1"/>
    <xf numFmtId="0" fontId="4" fillId="4" borderId="0" xfId="0" applyFont="1" applyFill="1" applyAlignment="1">
      <alignment horizontal="left"/>
    </xf>
    <xf numFmtId="0" fontId="1" fillId="2" borderId="2" xfId="0" applyFont="1" applyFill="1" applyBorder="1" applyAlignment="1">
      <alignment vertical="center"/>
    </xf>
    <xf numFmtId="0" fontId="7" fillId="5" borderId="0" xfId="0" applyFont="1" applyFill="1"/>
    <xf numFmtId="3" fontId="7" fillId="5" borderId="0" xfId="0" applyNumberFormat="1" applyFont="1" applyFill="1"/>
    <xf numFmtId="165" fontId="3" fillId="0" borderId="0" xfId="0" applyNumberFormat="1" applyFont="1"/>
    <xf numFmtId="165" fontId="0" fillId="0" borderId="0" xfId="0" applyNumberFormat="1"/>
    <xf numFmtId="4" fontId="5" fillId="0" borderId="0" xfId="0" applyNumberFormat="1" applyFont="1"/>
    <xf numFmtId="166" fontId="5" fillId="0" borderId="0" xfId="0" applyNumberFormat="1" applyFont="1"/>
    <xf numFmtId="167" fontId="0" fillId="0" borderId="0" xfId="0" applyNumberFormat="1"/>
    <xf numFmtId="2" fontId="0" fillId="0" borderId="0" xfId="0" applyNumberFormat="1"/>
    <xf numFmtId="0" fontId="0" fillId="6" borderId="0" xfId="0" applyFill="1"/>
    <xf numFmtId="0" fontId="0" fillId="5" borderId="0" xfId="0" applyFill="1"/>
    <xf numFmtId="0" fontId="0" fillId="0" borderId="0" xfId="0" applyAlignment="1">
      <alignment vertical="top" wrapText="1"/>
    </xf>
    <xf numFmtId="168" fontId="0" fillId="0" borderId="0" xfId="0" applyNumberFormat="1" applyAlignment="1">
      <alignment vertical="top" wrapText="1"/>
    </xf>
    <xf numFmtId="0" fontId="0" fillId="6" borderId="0" xfId="0" applyFill="1" applyAlignment="1">
      <alignment vertical="top" wrapText="1"/>
    </xf>
    <xf numFmtId="0" fontId="9" fillId="6" borderId="0" xfId="0" applyFont="1" applyFill="1" applyAlignment="1">
      <alignment vertical="top" wrapText="1"/>
    </xf>
    <xf numFmtId="49" fontId="10" fillId="5" borderId="0" xfId="0" applyNumberFormat="1" applyFont="1" applyFill="1" applyAlignment="1">
      <alignment vertical="top" wrapText="1"/>
    </xf>
    <xf numFmtId="0" fontId="0" fillId="5" borderId="0" xfId="0" applyFill="1" applyAlignment="1">
      <alignment vertical="top" wrapText="1"/>
    </xf>
    <xf numFmtId="49" fontId="0" fillId="6" borderId="0" xfId="0" applyNumberFormat="1" applyFill="1" applyAlignment="1">
      <alignment vertical="top" wrapText="1"/>
    </xf>
    <xf numFmtId="3" fontId="0" fillId="0" borderId="0" xfId="0" applyNumberFormat="1" applyAlignment="1">
      <alignment vertical="top" wrapText="1"/>
    </xf>
    <xf numFmtId="49" fontId="0" fillId="0" borderId="0" xfId="0" applyNumberFormat="1" applyAlignment="1">
      <alignment vertical="top" wrapText="1"/>
    </xf>
    <xf numFmtId="3" fontId="0" fillId="6" borderId="0" xfId="0" applyNumberFormat="1" applyFill="1" applyAlignment="1">
      <alignment vertical="top" wrapText="1"/>
    </xf>
    <xf numFmtId="168" fontId="0" fillId="6" borderId="0" xfId="0" applyNumberFormat="1" applyFill="1" applyAlignment="1">
      <alignment vertical="top" wrapText="1"/>
    </xf>
    <xf numFmtId="49" fontId="11" fillId="6" borderId="0" xfId="0" applyNumberFormat="1" applyFont="1" applyFill="1" applyAlignment="1">
      <alignment vertical="top" wrapText="1"/>
    </xf>
    <xf numFmtId="0" fontId="8" fillId="6" borderId="0" xfId="0" applyFont="1" applyFill="1" applyAlignment="1">
      <alignment horizontal="center" vertical="center"/>
    </xf>
    <xf numFmtId="49" fontId="0" fillId="6" borderId="0" xfId="0" applyNumberFormat="1" applyFill="1" applyBorder="1" applyAlignment="1">
      <alignment vertical="top" wrapText="1"/>
    </xf>
    <xf numFmtId="169" fontId="0" fillId="6" borderId="0" xfId="0" applyNumberFormat="1" applyFill="1" applyBorder="1" applyAlignment="1">
      <alignment vertical="top" wrapText="1"/>
    </xf>
    <xf numFmtId="0" fontId="0" fillId="6" borderId="0" xfId="0" applyFill="1" applyBorder="1" applyAlignment="1">
      <alignment vertical="top" wrapText="1"/>
    </xf>
    <xf numFmtId="49" fontId="0" fillId="6" borderId="0" xfId="0" applyNumberFormat="1" applyFill="1" applyBorder="1" applyAlignment="1">
      <alignment horizontal="right" vertical="top" wrapText="1" readingOrder="2"/>
    </xf>
    <xf numFmtId="49" fontId="0" fillId="6" borderId="0" xfId="0" applyNumberFormat="1" applyFill="1" applyBorder="1" applyAlignment="1">
      <alignment horizontal="left" vertical="top" wrapText="1" readingOrder="2"/>
    </xf>
    <xf numFmtId="170" fontId="0" fillId="6" borderId="0" xfId="0" applyNumberFormat="1" applyFill="1" applyBorder="1" applyAlignment="1">
      <alignment vertical="top" wrapText="1"/>
    </xf>
    <xf numFmtId="49" fontId="12" fillId="7" borderId="0" xfId="0" applyNumberFormat="1" applyFont="1" applyFill="1" applyBorder="1" applyAlignment="1">
      <alignment vertical="top" wrapText="1"/>
    </xf>
    <xf numFmtId="0" fontId="12" fillId="7" borderId="0" xfId="0" applyFont="1" applyFill="1" applyBorder="1" applyAlignment="1">
      <alignment vertical="top" wrapText="1"/>
    </xf>
    <xf numFmtId="0" fontId="0" fillId="7" borderId="0" xfId="0" applyFill="1"/>
    <xf numFmtId="169" fontId="0" fillId="6" borderId="0" xfId="0" applyNumberFormat="1" applyFill="1" applyBorder="1" applyAlignment="1">
      <alignment horizontal="right" vertical="top" wrapText="1"/>
    </xf>
    <xf numFmtId="0" fontId="0" fillId="6" borderId="0" xfId="0" applyFill="1" applyBorder="1" applyAlignment="1">
      <alignment horizontal="right" vertical="top" wrapText="1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indexed="15"/>
          <bgColor indexed="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39"/>
  <sheetViews>
    <sheetView tabSelected="1" topLeftCell="A122" workbookViewId="0">
      <selection activeCell="F133" sqref="F133"/>
    </sheetView>
  </sheetViews>
  <sheetFormatPr defaultColWidth="12.5703125" defaultRowHeight="15.75" customHeight="1"/>
  <cols>
    <col min="1" max="1" width="14.42578125" customWidth="1"/>
    <col min="2" max="2" width="20.5703125" customWidth="1"/>
    <col min="3" max="3" width="20.85546875" customWidth="1"/>
    <col min="4" max="4" width="22" customWidth="1"/>
    <col min="7" max="7" width="16.42578125" customWidth="1"/>
  </cols>
  <sheetData>
    <row r="1" spans="1:25" ht="16.5" customHeight="1">
      <c r="A1" s="1" t="s">
        <v>0</v>
      </c>
      <c r="B1" s="2" t="s">
        <v>1</v>
      </c>
      <c r="C1" s="2" t="s">
        <v>2</v>
      </c>
      <c r="D1" s="18" t="s">
        <v>3</v>
      </c>
      <c r="E1" s="3" t="s">
        <v>4</v>
      </c>
      <c r="F1" s="3" t="s">
        <v>5</v>
      </c>
      <c r="G1" s="19" t="s">
        <v>6</v>
      </c>
    </row>
    <row r="2" spans="1:25">
      <c r="A2" s="4">
        <v>1</v>
      </c>
      <c r="B2" s="5" t="s">
        <v>7</v>
      </c>
      <c r="C2" s="5">
        <v>2008</v>
      </c>
      <c r="D2" s="5" t="s">
        <v>8</v>
      </c>
      <c r="E2" s="6" t="s">
        <v>9</v>
      </c>
      <c r="F2" s="6">
        <v>5</v>
      </c>
      <c r="G2" s="6" t="s">
        <v>10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>
      <c r="A3" s="4">
        <v>1</v>
      </c>
      <c r="B3" s="5" t="s">
        <v>11</v>
      </c>
      <c r="C3" s="5">
        <v>1911</v>
      </c>
      <c r="D3" s="5" t="s">
        <v>8</v>
      </c>
      <c r="E3" s="6" t="s">
        <v>9</v>
      </c>
      <c r="F3" s="6">
        <v>5</v>
      </c>
      <c r="G3" s="6" t="s">
        <v>12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>
      <c r="A4" s="4">
        <v>1</v>
      </c>
      <c r="B4" s="5" t="s">
        <v>13</v>
      </c>
      <c r="C4" s="5">
        <v>1907</v>
      </c>
      <c r="D4" s="5" t="s">
        <v>8</v>
      </c>
      <c r="E4" s="6" t="s">
        <v>9</v>
      </c>
      <c r="F4" s="6">
        <v>5</v>
      </c>
      <c r="G4" s="6" t="s">
        <v>11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>
      <c r="A5" s="4">
        <v>1</v>
      </c>
      <c r="B5" s="5" t="s">
        <v>14</v>
      </c>
      <c r="C5" s="5">
        <v>1995</v>
      </c>
      <c r="D5" s="5" t="s">
        <v>8</v>
      </c>
      <c r="E5" s="6" t="s">
        <v>9</v>
      </c>
      <c r="F5" s="6">
        <v>5</v>
      </c>
      <c r="G5" s="6" t="s">
        <v>15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>
      <c r="A6" s="4">
        <v>1</v>
      </c>
      <c r="B6" s="5" t="s">
        <v>16</v>
      </c>
      <c r="C6" s="5">
        <v>1920</v>
      </c>
      <c r="D6" s="5" t="s">
        <v>17</v>
      </c>
      <c r="E6" s="6" t="s">
        <v>9</v>
      </c>
      <c r="F6" s="6">
        <v>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>
      <c r="A7" s="4">
        <v>1</v>
      </c>
      <c r="B7" s="5" t="s">
        <v>18</v>
      </c>
      <c r="C7" s="5">
        <v>1914</v>
      </c>
      <c r="D7" s="5" t="s">
        <v>19</v>
      </c>
      <c r="E7" s="6" t="s">
        <v>9</v>
      </c>
      <c r="F7" s="6">
        <v>5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>
      <c r="A8" s="4">
        <v>1</v>
      </c>
      <c r="B8" s="5" t="s">
        <v>20</v>
      </c>
      <c r="C8" s="5">
        <v>2003</v>
      </c>
      <c r="D8" s="5" t="s">
        <v>21</v>
      </c>
      <c r="E8" s="6" t="s">
        <v>9</v>
      </c>
      <c r="F8" s="6">
        <v>5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>
      <c r="A9" s="4">
        <v>1</v>
      </c>
      <c r="B9" s="5" t="s">
        <v>22</v>
      </c>
      <c r="C9" s="5">
        <v>2009</v>
      </c>
      <c r="D9" s="5" t="s">
        <v>23</v>
      </c>
      <c r="E9" s="6" t="s">
        <v>9</v>
      </c>
      <c r="F9" s="6">
        <v>5</v>
      </c>
      <c r="G9" s="6" t="s">
        <v>24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>
      <c r="A10" s="4">
        <v>1</v>
      </c>
      <c r="B10" s="5" t="s">
        <v>25</v>
      </c>
      <c r="C10" s="5">
        <v>2007</v>
      </c>
      <c r="D10" s="5" t="s">
        <v>23</v>
      </c>
      <c r="E10" s="6" t="s">
        <v>9</v>
      </c>
      <c r="F10" s="6">
        <v>5</v>
      </c>
      <c r="G10" s="6" t="s">
        <v>26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>
      <c r="A11" s="4">
        <v>1</v>
      </c>
      <c r="B11" s="5" t="s">
        <v>27</v>
      </c>
      <c r="C11" s="5">
        <v>2011</v>
      </c>
      <c r="D11" s="5" t="s">
        <v>8</v>
      </c>
      <c r="E11" s="6" t="s">
        <v>9</v>
      </c>
      <c r="F11" s="6">
        <v>5</v>
      </c>
      <c r="G11" s="6" t="s">
        <v>28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>
      <c r="A12" s="4">
        <v>1</v>
      </c>
      <c r="B12" s="5" t="s">
        <v>29</v>
      </c>
      <c r="C12" s="5">
        <v>1951</v>
      </c>
      <c r="D12" s="5" t="s">
        <v>8</v>
      </c>
      <c r="E12" s="6" t="s">
        <v>9</v>
      </c>
      <c r="F12" s="6">
        <v>5</v>
      </c>
      <c r="G12" s="6" t="s">
        <v>12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>
      <c r="A13" s="4">
        <v>1</v>
      </c>
      <c r="B13" s="5" t="s">
        <v>30</v>
      </c>
      <c r="C13" s="5">
        <v>1985</v>
      </c>
      <c r="D13" s="5" t="s">
        <v>8</v>
      </c>
      <c r="E13" s="6" t="s">
        <v>9</v>
      </c>
      <c r="F13" s="6">
        <v>5</v>
      </c>
      <c r="G13" s="6" t="s">
        <v>10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>
      <c r="A14" s="4">
        <v>1</v>
      </c>
      <c r="B14" s="5" t="s">
        <v>31</v>
      </c>
      <c r="C14" s="5">
        <v>2010</v>
      </c>
      <c r="D14" s="5" t="s">
        <v>19</v>
      </c>
      <c r="E14" s="6" t="s">
        <v>9</v>
      </c>
      <c r="F14" s="6">
        <v>5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>
      <c r="A15" s="4">
        <v>1</v>
      </c>
      <c r="B15" s="5" t="s">
        <v>32</v>
      </c>
      <c r="C15" s="5">
        <v>1924</v>
      </c>
      <c r="D15" s="5" t="s">
        <v>33</v>
      </c>
      <c r="E15" s="6" t="s">
        <v>9</v>
      </c>
      <c r="F15" s="6">
        <v>5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>
      <c r="A16" s="4">
        <v>1</v>
      </c>
      <c r="B16" s="5" t="s">
        <v>34</v>
      </c>
      <c r="C16" s="5">
        <v>1945</v>
      </c>
      <c r="D16" s="5" t="s">
        <v>19</v>
      </c>
      <c r="E16" s="6" t="s">
        <v>9</v>
      </c>
      <c r="F16" s="6">
        <v>5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>
      <c r="A17" s="4">
        <v>1</v>
      </c>
      <c r="B17" s="5" t="s">
        <v>35</v>
      </c>
      <c r="C17" s="5">
        <v>2000</v>
      </c>
      <c r="D17" s="5" t="s">
        <v>36</v>
      </c>
      <c r="E17" s="6" t="s">
        <v>9</v>
      </c>
      <c r="F17" s="6">
        <v>5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>
      <c r="A18" s="4">
        <v>1</v>
      </c>
      <c r="B18" s="5" t="s">
        <v>37</v>
      </c>
      <c r="C18" s="5">
        <v>1936</v>
      </c>
      <c r="D18" s="11" t="s">
        <v>38</v>
      </c>
      <c r="E18" s="6" t="s">
        <v>9</v>
      </c>
      <c r="F18" s="6">
        <v>5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12.75">
      <c r="A19" s="4">
        <v>1</v>
      </c>
      <c r="B19" s="5" t="s">
        <v>39</v>
      </c>
      <c r="C19" s="5">
        <v>1932</v>
      </c>
      <c r="D19" s="5" t="s">
        <v>19</v>
      </c>
      <c r="E19" s="6" t="s">
        <v>9</v>
      </c>
      <c r="F19" s="6">
        <v>5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>
      <c r="A20" s="4">
        <v>1</v>
      </c>
      <c r="B20" s="5" t="s">
        <v>40</v>
      </c>
      <c r="C20" s="5">
        <v>2002</v>
      </c>
      <c r="D20" s="5" t="s">
        <v>8</v>
      </c>
      <c r="E20" s="6" t="s">
        <v>9</v>
      </c>
      <c r="F20" s="6">
        <v>5</v>
      </c>
      <c r="G20" s="6" t="s">
        <v>41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>
      <c r="A21" s="4">
        <v>1</v>
      </c>
      <c r="B21" s="5" t="s">
        <v>42</v>
      </c>
      <c r="C21" s="5">
        <v>1935</v>
      </c>
      <c r="D21" s="5" t="s">
        <v>33</v>
      </c>
      <c r="E21" s="6" t="s">
        <v>9</v>
      </c>
      <c r="F21" s="6">
        <v>5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>
      <c r="A22" s="4">
        <v>1</v>
      </c>
      <c r="B22" s="5" t="s">
        <v>43</v>
      </c>
      <c r="C22" s="5">
        <v>1973</v>
      </c>
      <c r="D22" s="5" t="s">
        <v>8</v>
      </c>
      <c r="E22" s="6" t="s">
        <v>9</v>
      </c>
      <c r="F22" s="6">
        <v>5</v>
      </c>
      <c r="G22" s="6" t="s">
        <v>28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>
      <c r="A23" s="7">
        <v>2</v>
      </c>
      <c r="B23" s="8" t="s">
        <v>44</v>
      </c>
      <c r="C23" s="8">
        <v>2020</v>
      </c>
      <c r="D23" s="5" t="s">
        <v>45</v>
      </c>
      <c r="E23" s="6" t="s">
        <v>9</v>
      </c>
      <c r="F23" s="6">
        <v>3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>
      <c r="A24" s="7">
        <v>2</v>
      </c>
      <c r="B24" s="8" t="s">
        <v>46</v>
      </c>
      <c r="C24" s="8">
        <v>1903</v>
      </c>
      <c r="D24" s="8" t="s">
        <v>8</v>
      </c>
      <c r="E24" s="6" t="s">
        <v>9</v>
      </c>
      <c r="F24" s="6">
        <v>3</v>
      </c>
      <c r="G24" s="6" t="s">
        <v>28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>
      <c r="A25" s="7">
        <v>2</v>
      </c>
      <c r="B25" s="8" t="s">
        <v>47</v>
      </c>
      <c r="C25" s="8">
        <v>1932</v>
      </c>
      <c r="D25" s="11" t="s">
        <v>38</v>
      </c>
      <c r="E25" s="6" t="s">
        <v>9</v>
      </c>
      <c r="F25" s="6">
        <v>3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>
      <c r="A26" s="7">
        <v>2</v>
      </c>
      <c r="B26" s="8" t="s">
        <v>48</v>
      </c>
      <c r="C26" s="8">
        <v>1964</v>
      </c>
      <c r="D26" s="8" t="s">
        <v>33</v>
      </c>
      <c r="E26" s="6" t="s">
        <v>9</v>
      </c>
      <c r="F26" s="6">
        <v>3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12.75">
      <c r="A27" s="7">
        <v>2</v>
      </c>
      <c r="B27" s="8" t="s">
        <v>49</v>
      </c>
      <c r="C27" s="8">
        <v>2000</v>
      </c>
      <c r="D27" s="11" t="s">
        <v>50</v>
      </c>
      <c r="E27" s="6" t="s">
        <v>9</v>
      </c>
      <c r="F27" s="6">
        <v>3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12.75">
      <c r="A28" s="7">
        <v>2</v>
      </c>
      <c r="B28" s="8" t="s">
        <v>51</v>
      </c>
      <c r="C28" s="8">
        <v>1976</v>
      </c>
      <c r="D28" s="11" t="s">
        <v>19</v>
      </c>
      <c r="E28" s="6" t="s">
        <v>9</v>
      </c>
      <c r="F28" s="6">
        <v>3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12.75">
      <c r="A29" s="7">
        <v>2</v>
      </c>
      <c r="B29" s="8" t="s">
        <v>52</v>
      </c>
      <c r="C29" s="8">
        <v>2019</v>
      </c>
      <c r="D29" s="11" t="s">
        <v>50</v>
      </c>
      <c r="E29" s="6" t="s">
        <v>9</v>
      </c>
      <c r="F29" s="6">
        <v>3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>
      <c r="A30" s="7">
        <v>2</v>
      </c>
      <c r="B30" s="8" t="s">
        <v>53</v>
      </c>
      <c r="C30" s="8">
        <v>1990</v>
      </c>
      <c r="D30" s="10" t="s">
        <v>54</v>
      </c>
      <c r="E30" s="6" t="s">
        <v>9</v>
      </c>
      <c r="F30" s="6">
        <v>3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>
      <c r="A31" s="7">
        <v>2</v>
      </c>
      <c r="B31" s="8" t="s">
        <v>55</v>
      </c>
      <c r="C31" s="8">
        <v>2006</v>
      </c>
      <c r="D31" s="8" t="s">
        <v>8</v>
      </c>
      <c r="E31" s="6" t="s">
        <v>9</v>
      </c>
      <c r="F31" s="6">
        <v>3</v>
      </c>
      <c r="G31" s="6" t="s">
        <v>28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>
      <c r="A32" s="7">
        <v>2</v>
      </c>
      <c r="B32" s="8" t="s">
        <v>56</v>
      </c>
      <c r="C32" s="8">
        <v>1930</v>
      </c>
      <c r="D32" s="8" t="s">
        <v>57</v>
      </c>
      <c r="E32" s="6" t="s">
        <v>9</v>
      </c>
      <c r="F32" s="6">
        <v>3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>
      <c r="A33" s="7">
        <v>2</v>
      </c>
      <c r="B33" s="8" t="s">
        <v>58</v>
      </c>
      <c r="C33" s="8">
        <v>1921</v>
      </c>
      <c r="D33" s="8" t="s">
        <v>23</v>
      </c>
      <c r="E33" s="6" t="s">
        <v>9</v>
      </c>
      <c r="F33" s="6">
        <v>3</v>
      </c>
      <c r="G33" s="6" t="s">
        <v>12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>
      <c r="A34" s="7">
        <v>2</v>
      </c>
      <c r="B34" s="8" t="s">
        <v>59</v>
      </c>
      <c r="C34" s="8">
        <v>1972</v>
      </c>
      <c r="D34" s="10" t="s">
        <v>54</v>
      </c>
      <c r="E34" s="6" t="s">
        <v>9</v>
      </c>
      <c r="F34" s="6">
        <v>3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>
      <c r="A35" s="7">
        <v>2</v>
      </c>
      <c r="B35" s="8" t="s">
        <v>60</v>
      </c>
      <c r="C35" s="8">
        <v>1932</v>
      </c>
      <c r="D35" s="8" t="s">
        <v>61</v>
      </c>
      <c r="E35" s="6" t="s">
        <v>9</v>
      </c>
      <c r="F35" s="6">
        <v>3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>
      <c r="A36" s="7">
        <v>2</v>
      </c>
      <c r="B36" s="8" t="s">
        <v>62</v>
      </c>
      <c r="C36" s="8">
        <v>2005</v>
      </c>
      <c r="D36" s="8" t="s">
        <v>63</v>
      </c>
      <c r="E36" s="6" t="s">
        <v>9</v>
      </c>
      <c r="F36" s="6">
        <v>3</v>
      </c>
      <c r="G36" s="6" t="s">
        <v>28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>
      <c r="A37" s="7">
        <v>2</v>
      </c>
      <c r="B37" s="8" t="s">
        <v>64</v>
      </c>
      <c r="C37" s="8">
        <v>1931</v>
      </c>
      <c r="D37" s="11" t="s">
        <v>38</v>
      </c>
      <c r="E37" s="6" t="s">
        <v>9</v>
      </c>
      <c r="F37" s="6">
        <v>3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>
      <c r="A38" s="7">
        <v>2</v>
      </c>
      <c r="B38" s="8" t="s">
        <v>65</v>
      </c>
      <c r="C38" s="8">
        <v>2019</v>
      </c>
      <c r="D38" s="8" t="s">
        <v>63</v>
      </c>
      <c r="E38" s="6" t="s">
        <v>9</v>
      </c>
      <c r="F38" s="6">
        <v>3</v>
      </c>
      <c r="G38" s="6" t="s">
        <v>26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>
      <c r="A39" s="7">
        <v>2</v>
      </c>
      <c r="B39" s="8" t="s">
        <v>66</v>
      </c>
      <c r="C39" s="8">
        <v>1948</v>
      </c>
      <c r="D39" s="11" t="s">
        <v>38</v>
      </c>
      <c r="E39" s="6" t="s">
        <v>9</v>
      </c>
      <c r="F39" s="6">
        <v>3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>
      <c r="A40" s="7">
        <v>2</v>
      </c>
      <c r="B40" s="8" t="s">
        <v>67</v>
      </c>
      <c r="C40" s="8">
        <v>2004</v>
      </c>
      <c r="D40" s="8" t="s">
        <v>63</v>
      </c>
      <c r="E40" s="6" t="s">
        <v>9</v>
      </c>
      <c r="F40" s="6">
        <v>3</v>
      </c>
      <c r="G40" s="6" t="s">
        <v>68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>
      <c r="A41" s="4">
        <v>3</v>
      </c>
      <c r="B41" s="5" t="s">
        <v>69</v>
      </c>
      <c r="C41" s="5">
        <v>1953</v>
      </c>
      <c r="D41" s="5" t="s">
        <v>70</v>
      </c>
      <c r="E41" s="6" t="s">
        <v>9</v>
      </c>
      <c r="F41" s="6">
        <v>1</v>
      </c>
      <c r="G41" s="6" t="s">
        <v>71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>
      <c r="A42" s="4">
        <v>3</v>
      </c>
      <c r="B42" s="5" t="s">
        <v>72</v>
      </c>
      <c r="C42" s="5">
        <v>1923</v>
      </c>
      <c r="D42" s="5" t="s">
        <v>36</v>
      </c>
      <c r="E42" s="6" t="s">
        <v>9</v>
      </c>
      <c r="F42" s="6">
        <v>1</v>
      </c>
    </row>
    <row r="43" spans="1:25">
      <c r="A43" s="4">
        <v>3</v>
      </c>
      <c r="B43" s="5" t="s">
        <v>73</v>
      </c>
      <c r="C43" s="5">
        <v>2007</v>
      </c>
      <c r="D43" s="11" t="s">
        <v>74</v>
      </c>
      <c r="E43" s="6" t="s">
        <v>9</v>
      </c>
      <c r="F43" s="6">
        <v>1</v>
      </c>
    </row>
    <row r="44" spans="1:25">
      <c r="A44" s="4">
        <v>3</v>
      </c>
      <c r="B44" s="5" t="s">
        <v>75</v>
      </c>
      <c r="C44" s="5">
        <v>1958</v>
      </c>
      <c r="D44" s="5" t="s">
        <v>8</v>
      </c>
      <c r="E44" s="6" t="s">
        <v>9</v>
      </c>
      <c r="F44" s="6">
        <v>1</v>
      </c>
      <c r="G44" t="s">
        <v>28</v>
      </c>
    </row>
    <row r="45" spans="1:25">
      <c r="A45" s="4">
        <v>3</v>
      </c>
      <c r="B45" s="5" t="s">
        <v>76</v>
      </c>
      <c r="C45" s="5">
        <v>1962</v>
      </c>
      <c r="D45" s="5" t="s">
        <v>63</v>
      </c>
      <c r="E45" s="6" t="s">
        <v>9</v>
      </c>
      <c r="F45" s="6">
        <v>1</v>
      </c>
      <c r="G45" t="s">
        <v>77</v>
      </c>
    </row>
    <row r="46" spans="1:25">
      <c r="A46" s="4">
        <v>3</v>
      </c>
      <c r="B46" s="5" t="s">
        <v>78</v>
      </c>
      <c r="C46" s="5">
        <v>1974</v>
      </c>
      <c r="D46" s="5" t="s">
        <v>17</v>
      </c>
      <c r="E46" s="6" t="s">
        <v>9</v>
      </c>
      <c r="F46" s="6">
        <v>1</v>
      </c>
    </row>
    <row r="47" spans="1:25">
      <c r="A47" s="4">
        <v>3</v>
      </c>
      <c r="B47" s="5" t="s">
        <v>79</v>
      </c>
      <c r="C47" s="5">
        <v>2011</v>
      </c>
      <c r="D47" s="11" t="s">
        <v>74</v>
      </c>
      <c r="E47" s="6" t="s">
        <v>9</v>
      </c>
      <c r="F47" s="6">
        <v>1</v>
      </c>
    </row>
    <row r="48" spans="1:25">
      <c r="A48" s="4">
        <v>3</v>
      </c>
      <c r="B48" s="5" t="s">
        <v>80</v>
      </c>
      <c r="C48" s="5">
        <v>1902</v>
      </c>
      <c r="D48" s="5" t="s">
        <v>17</v>
      </c>
      <c r="E48" s="6" t="s">
        <v>9</v>
      </c>
      <c r="F48" s="6">
        <v>1</v>
      </c>
    </row>
    <row r="49" spans="1:7">
      <c r="A49" s="4">
        <v>3</v>
      </c>
      <c r="B49" s="5" t="s">
        <v>81</v>
      </c>
      <c r="C49" s="5">
        <v>1988</v>
      </c>
      <c r="D49" s="5" t="s">
        <v>82</v>
      </c>
      <c r="E49" s="6" t="s">
        <v>9</v>
      </c>
      <c r="F49" s="6">
        <v>1</v>
      </c>
    </row>
    <row r="50" spans="1:7">
      <c r="A50" s="4">
        <v>3</v>
      </c>
      <c r="B50" s="5" t="s">
        <v>83</v>
      </c>
      <c r="C50" s="5">
        <v>1980</v>
      </c>
      <c r="D50" s="5" t="s">
        <v>84</v>
      </c>
      <c r="E50" s="6" t="s">
        <v>9</v>
      </c>
      <c r="F50" s="6">
        <v>1</v>
      </c>
    </row>
    <row r="51" spans="1:7">
      <c r="A51" s="4">
        <v>3</v>
      </c>
      <c r="B51" s="5" t="s">
        <v>85</v>
      </c>
      <c r="C51" s="5">
        <v>1961</v>
      </c>
      <c r="D51" s="11" t="s">
        <v>86</v>
      </c>
      <c r="E51" s="6" t="s">
        <v>9</v>
      </c>
      <c r="F51" s="6">
        <v>1</v>
      </c>
    </row>
    <row r="52" spans="1:7">
      <c r="A52" s="4">
        <v>3</v>
      </c>
      <c r="B52" s="9">
        <v>46301</v>
      </c>
      <c r="C52" s="5">
        <v>1984</v>
      </c>
      <c r="D52" s="5" t="s">
        <v>70</v>
      </c>
      <c r="E52" s="6" t="s">
        <v>9</v>
      </c>
      <c r="F52" s="6">
        <v>1</v>
      </c>
      <c r="G52" t="s">
        <v>26</v>
      </c>
    </row>
    <row r="53" spans="1:7">
      <c r="A53" s="4">
        <v>3</v>
      </c>
      <c r="B53" s="5" t="s">
        <v>87</v>
      </c>
      <c r="C53" s="5">
        <v>2024</v>
      </c>
      <c r="D53" s="5" t="s">
        <v>23</v>
      </c>
      <c r="E53" s="6" t="s">
        <v>9</v>
      </c>
      <c r="F53" s="6">
        <v>1</v>
      </c>
      <c r="G53" t="s">
        <v>26</v>
      </c>
    </row>
    <row r="54" spans="1:7">
      <c r="A54" s="4">
        <v>3</v>
      </c>
      <c r="B54" s="5" t="s">
        <v>88</v>
      </c>
      <c r="C54" s="5">
        <v>1976</v>
      </c>
      <c r="D54" s="5" t="s">
        <v>70</v>
      </c>
      <c r="E54" s="6" t="s">
        <v>9</v>
      </c>
      <c r="F54" s="6">
        <v>1</v>
      </c>
      <c r="G54" t="s">
        <v>26</v>
      </c>
    </row>
    <row r="55" spans="1:7">
      <c r="A55" s="4">
        <v>3</v>
      </c>
      <c r="B55" s="5" t="s">
        <v>89</v>
      </c>
      <c r="C55" s="5">
        <v>2006</v>
      </c>
      <c r="D55" s="5" t="s">
        <v>23</v>
      </c>
      <c r="E55" s="6" t="s">
        <v>9</v>
      </c>
      <c r="F55" s="6">
        <v>1</v>
      </c>
      <c r="G55" t="s">
        <v>26</v>
      </c>
    </row>
    <row r="56" spans="1:7">
      <c r="A56" s="4">
        <v>3</v>
      </c>
      <c r="B56" s="5" t="s">
        <v>90</v>
      </c>
      <c r="C56" s="5">
        <v>1980</v>
      </c>
      <c r="D56" s="5" t="s">
        <v>8</v>
      </c>
      <c r="E56" s="6" t="s">
        <v>9</v>
      </c>
      <c r="F56" s="6">
        <v>1</v>
      </c>
      <c r="G56" t="s">
        <v>91</v>
      </c>
    </row>
    <row r="57" spans="1:7">
      <c r="A57" s="4">
        <v>3</v>
      </c>
      <c r="B57" s="5" t="s">
        <v>92</v>
      </c>
      <c r="C57" s="5">
        <v>2007</v>
      </c>
      <c r="D57" s="5" t="s">
        <v>70</v>
      </c>
      <c r="E57" s="6" t="s">
        <v>9</v>
      </c>
      <c r="F57" s="6">
        <v>1</v>
      </c>
      <c r="G57" t="s">
        <v>26</v>
      </c>
    </row>
    <row r="58" spans="1:7">
      <c r="A58" s="4">
        <v>3</v>
      </c>
      <c r="B58" s="5" t="s">
        <v>93</v>
      </c>
      <c r="C58" s="5">
        <v>1932</v>
      </c>
      <c r="D58" s="5" t="s">
        <v>94</v>
      </c>
      <c r="E58" s="6" t="s">
        <v>9</v>
      </c>
      <c r="F58" s="6">
        <v>1</v>
      </c>
    </row>
    <row r="59" spans="1:7">
      <c r="A59" s="4">
        <v>3</v>
      </c>
      <c r="B59" s="5" t="s">
        <v>95</v>
      </c>
      <c r="C59" s="5">
        <v>2021</v>
      </c>
      <c r="D59" s="5" t="s">
        <v>8</v>
      </c>
      <c r="E59" s="6" t="s">
        <v>9</v>
      </c>
      <c r="F59" s="6">
        <v>1</v>
      </c>
      <c r="G59" t="s">
        <v>41</v>
      </c>
    </row>
    <row r="60" spans="1:7">
      <c r="A60" s="4">
        <v>3</v>
      </c>
      <c r="B60" s="5" t="s">
        <v>96</v>
      </c>
      <c r="C60" s="5">
        <v>1976</v>
      </c>
      <c r="D60" s="11" t="s">
        <v>74</v>
      </c>
      <c r="E60" s="6" t="s">
        <v>9</v>
      </c>
      <c r="F60" s="6">
        <v>1</v>
      </c>
    </row>
    <row r="61" spans="1:7">
      <c r="A61" s="4">
        <v>3</v>
      </c>
      <c r="B61" s="5" t="s">
        <v>97</v>
      </c>
      <c r="C61" s="5">
        <v>1945</v>
      </c>
      <c r="D61" s="11" t="s">
        <v>74</v>
      </c>
      <c r="E61" s="6" t="s">
        <v>9</v>
      </c>
      <c r="F61" s="6">
        <v>1</v>
      </c>
    </row>
    <row r="62" spans="1:7">
      <c r="A62" s="4">
        <v>3</v>
      </c>
      <c r="B62" s="5" t="s">
        <v>98</v>
      </c>
      <c r="C62" s="5">
        <v>1890</v>
      </c>
      <c r="D62" s="5" t="s">
        <v>99</v>
      </c>
      <c r="E62" s="6" t="s">
        <v>9</v>
      </c>
      <c r="F62" s="6">
        <v>1</v>
      </c>
    </row>
    <row r="63" spans="1:7">
      <c r="A63" s="4">
        <v>3</v>
      </c>
      <c r="B63" s="5" t="s">
        <v>100</v>
      </c>
      <c r="C63" s="5">
        <v>1962</v>
      </c>
      <c r="D63" s="5" t="s">
        <v>101</v>
      </c>
      <c r="E63" s="6" t="s">
        <v>9</v>
      </c>
      <c r="F63" s="6">
        <v>1</v>
      </c>
    </row>
    <row r="64" spans="1:7">
      <c r="A64" s="4">
        <v>3</v>
      </c>
      <c r="B64" s="5" t="s">
        <v>102</v>
      </c>
      <c r="C64" s="5">
        <v>1999</v>
      </c>
      <c r="D64" s="5" t="s">
        <v>101</v>
      </c>
      <c r="E64" s="6" t="s">
        <v>9</v>
      </c>
      <c r="F64" s="6">
        <v>1</v>
      </c>
    </row>
    <row r="65" spans="1:7">
      <c r="A65" s="4">
        <v>3</v>
      </c>
      <c r="B65" s="5" t="s">
        <v>103</v>
      </c>
      <c r="C65" s="5">
        <v>1905</v>
      </c>
      <c r="D65" s="5" t="s">
        <v>99</v>
      </c>
      <c r="E65" s="6" t="s">
        <v>9</v>
      </c>
      <c r="F65" s="6">
        <v>1</v>
      </c>
    </row>
    <row r="66" spans="1:7">
      <c r="A66" s="4">
        <v>3</v>
      </c>
      <c r="B66" s="5" t="s">
        <v>104</v>
      </c>
      <c r="C66" s="5">
        <v>1976</v>
      </c>
      <c r="D66" s="5" t="s">
        <v>99</v>
      </c>
      <c r="E66" s="6" t="s">
        <v>9</v>
      </c>
      <c r="F66" s="6">
        <v>1</v>
      </c>
    </row>
    <row r="67" spans="1:7">
      <c r="A67" s="4">
        <v>3</v>
      </c>
      <c r="B67" s="5" t="s">
        <v>105</v>
      </c>
      <c r="C67" s="5">
        <v>1982</v>
      </c>
      <c r="D67" s="5" t="s">
        <v>8</v>
      </c>
      <c r="E67" s="6" t="s">
        <v>9</v>
      </c>
      <c r="F67" s="6">
        <v>1</v>
      </c>
      <c r="G67" t="s">
        <v>28</v>
      </c>
    </row>
    <row r="68" spans="1:7">
      <c r="A68" s="4">
        <v>3</v>
      </c>
      <c r="B68" s="5" t="s">
        <v>106</v>
      </c>
      <c r="C68" s="5">
        <v>2000</v>
      </c>
      <c r="D68" s="5" t="s">
        <v>99</v>
      </c>
      <c r="E68" s="6" t="s">
        <v>9</v>
      </c>
      <c r="F68" s="6">
        <v>1</v>
      </c>
    </row>
    <row r="69" spans="1:7">
      <c r="A69" s="4">
        <v>3</v>
      </c>
      <c r="B69" s="5" t="s">
        <v>107</v>
      </c>
      <c r="C69" s="5">
        <v>1934</v>
      </c>
      <c r="D69" s="5" t="s">
        <v>99</v>
      </c>
      <c r="E69" s="6" t="s">
        <v>9</v>
      </c>
      <c r="F69" s="6">
        <v>1</v>
      </c>
    </row>
    <row r="70" spans="1:7">
      <c r="A70" s="4">
        <v>3</v>
      </c>
      <c r="B70" s="5" t="s">
        <v>108</v>
      </c>
      <c r="C70" s="5">
        <v>1976</v>
      </c>
      <c r="D70" s="5" t="s">
        <v>109</v>
      </c>
      <c r="E70" s="6" t="s">
        <v>9</v>
      </c>
      <c r="F70" s="6">
        <v>1</v>
      </c>
    </row>
    <row r="71" spans="1:7">
      <c r="A71" s="4">
        <v>3</v>
      </c>
      <c r="B71" s="5" t="s">
        <v>110</v>
      </c>
      <c r="C71" s="5">
        <v>1995</v>
      </c>
      <c r="D71" s="5" t="s">
        <v>99</v>
      </c>
      <c r="E71" s="6" t="s">
        <v>9</v>
      </c>
      <c r="F71" s="6">
        <v>1</v>
      </c>
    </row>
    <row r="72" spans="1:7">
      <c r="A72" s="4">
        <v>3</v>
      </c>
      <c r="B72" s="5" t="s">
        <v>111</v>
      </c>
      <c r="C72" s="5">
        <v>2008</v>
      </c>
      <c r="D72" s="5" t="s">
        <v>101</v>
      </c>
      <c r="E72" s="6" t="s">
        <v>9</v>
      </c>
      <c r="F72" s="6">
        <v>1</v>
      </c>
    </row>
    <row r="73" spans="1:7">
      <c r="A73" s="4">
        <v>3</v>
      </c>
      <c r="B73" s="5" t="s">
        <v>112</v>
      </c>
      <c r="C73" s="5">
        <v>1961</v>
      </c>
      <c r="D73" s="5" t="s">
        <v>109</v>
      </c>
      <c r="E73" s="6" t="s">
        <v>9</v>
      </c>
      <c r="F73" s="6">
        <v>1</v>
      </c>
    </row>
    <row r="74" spans="1:7">
      <c r="A74" s="4">
        <v>3</v>
      </c>
      <c r="B74" s="5" t="s">
        <v>113</v>
      </c>
      <c r="C74" s="5">
        <v>1976</v>
      </c>
      <c r="D74" s="11" t="s">
        <v>114</v>
      </c>
      <c r="E74" s="6" t="s">
        <v>9</v>
      </c>
      <c r="F74" s="6">
        <v>1</v>
      </c>
    </row>
    <row r="75" spans="1:7">
      <c r="A75" s="4">
        <v>3</v>
      </c>
      <c r="B75" s="5" t="s">
        <v>115</v>
      </c>
      <c r="C75" s="5">
        <v>1948</v>
      </c>
      <c r="D75" s="5" t="s">
        <v>61</v>
      </c>
      <c r="E75" s="6" t="s">
        <v>9</v>
      </c>
      <c r="F75" s="6">
        <v>1</v>
      </c>
    </row>
    <row r="76" spans="1:7">
      <c r="A76" s="4">
        <v>3</v>
      </c>
      <c r="B76" s="5" t="s">
        <v>116</v>
      </c>
      <c r="C76" s="5">
        <v>1928</v>
      </c>
      <c r="D76" s="5" t="s">
        <v>61</v>
      </c>
      <c r="E76" s="6" t="s">
        <v>9</v>
      </c>
      <c r="F76" s="6">
        <v>1</v>
      </c>
    </row>
    <row r="77" spans="1:7">
      <c r="A77" s="4">
        <v>3</v>
      </c>
      <c r="B77" s="5" t="s">
        <v>117</v>
      </c>
      <c r="C77" s="5">
        <v>1976</v>
      </c>
      <c r="D77" s="11" t="s">
        <v>114</v>
      </c>
      <c r="E77" s="6" t="s">
        <v>9</v>
      </c>
      <c r="F77" s="6">
        <v>1</v>
      </c>
    </row>
    <row r="78" spans="1:7">
      <c r="A78" s="4">
        <v>3</v>
      </c>
      <c r="B78" s="5" t="s">
        <v>118</v>
      </c>
      <c r="C78" s="5">
        <v>2015</v>
      </c>
      <c r="D78" s="5" t="s">
        <v>61</v>
      </c>
      <c r="E78" s="6" t="s">
        <v>9</v>
      </c>
      <c r="F78" s="6">
        <v>1</v>
      </c>
    </row>
    <row r="79" spans="1:7">
      <c r="A79" s="4">
        <v>3</v>
      </c>
      <c r="B79" s="5" t="s">
        <v>119</v>
      </c>
      <c r="C79" s="5">
        <v>1923</v>
      </c>
      <c r="D79" s="5" t="s">
        <v>120</v>
      </c>
      <c r="E79" s="6" t="s">
        <v>9</v>
      </c>
      <c r="F79" s="6">
        <v>1</v>
      </c>
    </row>
    <row r="80" spans="1:7">
      <c r="A80" s="4">
        <v>3</v>
      </c>
      <c r="B80" s="5" t="s">
        <v>121</v>
      </c>
      <c r="C80" s="5">
        <v>2000</v>
      </c>
      <c r="D80" s="5" t="s">
        <v>120</v>
      </c>
      <c r="E80" s="6" t="s">
        <v>9</v>
      </c>
      <c r="F80" s="6">
        <v>1</v>
      </c>
    </row>
    <row r="81" spans="1:6">
      <c r="A81" s="4">
        <v>3</v>
      </c>
      <c r="B81" s="5" t="s">
        <v>122</v>
      </c>
      <c r="C81" s="5">
        <v>1993</v>
      </c>
      <c r="D81" s="11" t="s">
        <v>38</v>
      </c>
      <c r="E81" s="6" t="s">
        <v>9</v>
      </c>
      <c r="F81" s="6">
        <v>1</v>
      </c>
    </row>
    <row r="82" spans="1:6">
      <c r="A82" s="4">
        <v>3</v>
      </c>
      <c r="B82" s="5" t="s">
        <v>123</v>
      </c>
      <c r="C82" s="5">
        <v>1976</v>
      </c>
      <c r="D82" s="5" t="s">
        <v>61</v>
      </c>
      <c r="E82" s="6" t="s">
        <v>9</v>
      </c>
      <c r="F82" s="6">
        <v>1</v>
      </c>
    </row>
    <row r="83" spans="1:6">
      <c r="A83" s="4">
        <v>3</v>
      </c>
      <c r="B83" s="5" t="s">
        <v>124</v>
      </c>
      <c r="C83" s="5">
        <v>1976</v>
      </c>
      <c r="D83" s="5" t="s">
        <v>94</v>
      </c>
      <c r="E83" s="6" t="s">
        <v>9</v>
      </c>
      <c r="F83" s="6">
        <v>1</v>
      </c>
    </row>
    <row r="84" spans="1:6">
      <c r="A84" s="4">
        <v>3</v>
      </c>
      <c r="B84" s="5" t="s">
        <v>125</v>
      </c>
      <c r="C84" s="5">
        <v>1955</v>
      </c>
      <c r="D84" s="5" t="s">
        <v>61</v>
      </c>
      <c r="E84" s="6" t="s">
        <v>9</v>
      </c>
      <c r="F84" s="6">
        <v>1</v>
      </c>
    </row>
    <row r="85" spans="1:6">
      <c r="A85" s="7">
        <v>3</v>
      </c>
      <c r="B85" s="10" t="s">
        <v>126</v>
      </c>
      <c r="C85" s="8">
        <v>2006</v>
      </c>
      <c r="D85" s="8" t="s">
        <v>56</v>
      </c>
      <c r="E85" s="17" t="s">
        <v>9</v>
      </c>
      <c r="F85" s="6">
        <v>1</v>
      </c>
    </row>
    <row r="86" spans="1:6">
      <c r="A86" s="7">
        <v>3</v>
      </c>
      <c r="B86" s="10" t="s">
        <v>127</v>
      </c>
      <c r="C86" s="8">
        <v>1970</v>
      </c>
      <c r="D86" s="8" t="s">
        <v>56</v>
      </c>
      <c r="E86" s="17" t="s">
        <v>9</v>
      </c>
      <c r="F86" s="6">
        <v>1</v>
      </c>
    </row>
    <row r="87" spans="1:6">
      <c r="A87" s="7">
        <v>3</v>
      </c>
      <c r="B87" s="10" t="s">
        <v>128</v>
      </c>
      <c r="C87" s="8">
        <v>1932</v>
      </c>
      <c r="D87" s="8" t="s">
        <v>129</v>
      </c>
      <c r="E87" s="17" t="s">
        <v>9</v>
      </c>
      <c r="F87" s="6">
        <v>1</v>
      </c>
    </row>
    <row r="88" spans="1:6">
      <c r="A88" s="7">
        <v>3</v>
      </c>
      <c r="B88" s="10" t="s">
        <v>130</v>
      </c>
      <c r="C88" s="8">
        <v>1984</v>
      </c>
      <c r="D88" s="8" t="s">
        <v>129</v>
      </c>
      <c r="E88" s="17" t="s">
        <v>9</v>
      </c>
      <c r="F88" s="6">
        <v>1</v>
      </c>
    </row>
    <row r="89" spans="1:6">
      <c r="A89" s="7">
        <v>3</v>
      </c>
      <c r="B89" s="10" t="s">
        <v>131</v>
      </c>
      <c r="C89" s="8">
        <v>1959</v>
      </c>
      <c r="D89" s="8" t="s">
        <v>132</v>
      </c>
      <c r="E89" s="17" t="s">
        <v>9</v>
      </c>
      <c r="F89" s="6">
        <v>1</v>
      </c>
    </row>
    <row r="90" spans="1:6">
      <c r="A90" s="7">
        <v>3</v>
      </c>
      <c r="B90" s="10" t="s">
        <v>133</v>
      </c>
      <c r="C90" s="8">
        <v>1977</v>
      </c>
      <c r="D90" s="8" t="s">
        <v>132</v>
      </c>
      <c r="E90" s="17" t="s">
        <v>9</v>
      </c>
      <c r="F90" s="6">
        <v>1</v>
      </c>
    </row>
    <row r="91" spans="1:6">
      <c r="A91" s="7">
        <v>3</v>
      </c>
      <c r="B91" s="10" t="s">
        <v>134</v>
      </c>
      <c r="C91" s="8">
        <v>1925</v>
      </c>
      <c r="D91" s="8" t="s">
        <v>135</v>
      </c>
      <c r="E91" s="17" t="s">
        <v>9</v>
      </c>
      <c r="F91" s="6">
        <v>1</v>
      </c>
    </row>
    <row r="92" spans="1:6">
      <c r="A92" s="7">
        <v>3</v>
      </c>
      <c r="B92" s="10" t="s">
        <v>136</v>
      </c>
      <c r="C92" s="8">
        <v>1962</v>
      </c>
      <c r="D92" s="8" t="s">
        <v>135</v>
      </c>
      <c r="E92" s="17" t="s">
        <v>9</v>
      </c>
      <c r="F92" s="6">
        <v>1</v>
      </c>
    </row>
    <row r="93" spans="1:6">
      <c r="A93" s="7">
        <v>3</v>
      </c>
      <c r="B93" s="10" t="s">
        <v>137</v>
      </c>
      <c r="C93" s="8">
        <v>1976</v>
      </c>
      <c r="D93" s="8" t="s">
        <v>135</v>
      </c>
      <c r="E93" s="17" t="s">
        <v>9</v>
      </c>
      <c r="F93" s="6">
        <v>1</v>
      </c>
    </row>
    <row r="94" spans="1:6">
      <c r="A94" s="7">
        <v>3</v>
      </c>
      <c r="B94" s="10" t="s">
        <v>138</v>
      </c>
      <c r="C94" s="8">
        <v>2021</v>
      </c>
      <c r="D94" s="8" t="s">
        <v>135</v>
      </c>
      <c r="E94" s="17" t="s">
        <v>9</v>
      </c>
      <c r="F94" s="6">
        <v>1</v>
      </c>
    </row>
    <row r="95" spans="1:6">
      <c r="A95" s="7">
        <v>3</v>
      </c>
      <c r="B95" s="10" t="s">
        <v>139</v>
      </c>
      <c r="C95" s="8">
        <v>1971</v>
      </c>
      <c r="D95" s="8" t="s">
        <v>45</v>
      </c>
      <c r="E95" s="17" t="s">
        <v>9</v>
      </c>
      <c r="F95" s="6">
        <v>1</v>
      </c>
    </row>
    <row r="96" spans="1:6">
      <c r="A96" s="7">
        <v>3</v>
      </c>
      <c r="B96" s="10" t="s">
        <v>140</v>
      </c>
      <c r="C96" s="8">
        <v>2007</v>
      </c>
      <c r="D96" s="8" t="s">
        <v>45</v>
      </c>
      <c r="E96" s="17" t="s">
        <v>9</v>
      </c>
      <c r="F96" s="6">
        <v>1</v>
      </c>
    </row>
    <row r="97" spans="1:7">
      <c r="A97" s="7">
        <v>3</v>
      </c>
      <c r="B97" s="10" t="s">
        <v>141</v>
      </c>
      <c r="C97" s="8">
        <v>1988</v>
      </c>
      <c r="D97" s="8" t="s">
        <v>142</v>
      </c>
      <c r="E97" s="17" t="s">
        <v>9</v>
      </c>
      <c r="F97" s="6">
        <v>1</v>
      </c>
    </row>
    <row r="98" spans="1:7">
      <c r="A98" s="7">
        <v>3</v>
      </c>
      <c r="B98" s="10" t="s">
        <v>143</v>
      </c>
      <c r="C98" s="8">
        <v>1972</v>
      </c>
      <c r="D98" s="8" t="s">
        <v>142</v>
      </c>
      <c r="E98" s="17" t="s">
        <v>9</v>
      </c>
      <c r="F98" s="6">
        <v>1</v>
      </c>
    </row>
    <row r="99" spans="1:7">
      <c r="A99" s="7">
        <v>3</v>
      </c>
      <c r="B99" s="10" t="s">
        <v>144</v>
      </c>
      <c r="C99" s="8">
        <v>2017</v>
      </c>
      <c r="D99" s="8" t="s">
        <v>142</v>
      </c>
      <c r="E99" s="17" t="s">
        <v>9</v>
      </c>
      <c r="F99" s="6">
        <v>1</v>
      </c>
    </row>
    <row r="100" spans="1:7">
      <c r="A100" s="7">
        <v>3</v>
      </c>
      <c r="B100" s="10" t="s">
        <v>145</v>
      </c>
      <c r="C100" s="8">
        <v>1928</v>
      </c>
      <c r="D100" s="11" t="s">
        <v>146</v>
      </c>
      <c r="E100" s="17" t="s">
        <v>9</v>
      </c>
      <c r="F100" s="6">
        <v>1</v>
      </c>
    </row>
    <row r="101" spans="1:7">
      <c r="A101" s="7">
        <v>3</v>
      </c>
      <c r="B101" s="10" t="s">
        <v>147</v>
      </c>
      <c r="C101" s="8">
        <v>1976</v>
      </c>
      <c r="D101" s="8" t="s">
        <v>45</v>
      </c>
      <c r="E101" s="17" t="s">
        <v>9</v>
      </c>
      <c r="F101" s="6">
        <v>1</v>
      </c>
    </row>
    <row r="102" spans="1:7">
      <c r="A102" s="4">
        <v>3</v>
      </c>
      <c r="B102" s="5" t="s">
        <v>148</v>
      </c>
      <c r="C102" s="5">
        <v>1961</v>
      </c>
      <c r="D102" s="11" t="s">
        <v>146</v>
      </c>
      <c r="E102" s="17" t="s">
        <v>9</v>
      </c>
      <c r="F102" s="6">
        <v>1</v>
      </c>
    </row>
    <row r="103" spans="1:7">
      <c r="A103" s="4">
        <v>3</v>
      </c>
      <c r="B103" s="5" t="s">
        <v>149</v>
      </c>
      <c r="C103" s="5">
        <v>1990</v>
      </c>
      <c r="D103" s="10" t="s">
        <v>54</v>
      </c>
      <c r="E103" s="17" t="s">
        <v>9</v>
      </c>
      <c r="F103" s="6">
        <v>1</v>
      </c>
    </row>
    <row r="104" spans="1:7">
      <c r="A104" s="7">
        <v>3</v>
      </c>
      <c r="B104" s="10" t="s">
        <v>150</v>
      </c>
      <c r="C104" s="8">
        <v>1976</v>
      </c>
      <c r="D104" s="10" t="s">
        <v>54</v>
      </c>
      <c r="E104" s="17" t="s">
        <v>9</v>
      </c>
      <c r="F104" s="6">
        <v>1</v>
      </c>
    </row>
    <row r="105" spans="1:7">
      <c r="A105" s="7">
        <v>1</v>
      </c>
      <c r="B105" s="8" t="s">
        <v>43</v>
      </c>
      <c r="C105" s="8">
        <v>1973</v>
      </c>
      <c r="D105" s="8" t="s">
        <v>8</v>
      </c>
      <c r="E105" s="17" t="s">
        <v>151</v>
      </c>
      <c r="F105" s="11">
        <v>3</v>
      </c>
      <c r="G105" t="s">
        <v>28</v>
      </c>
    </row>
    <row r="106" spans="1:7">
      <c r="A106" s="7">
        <v>1</v>
      </c>
      <c r="B106" s="8" t="s">
        <v>13</v>
      </c>
      <c r="C106" s="8">
        <v>1907</v>
      </c>
      <c r="D106" s="8" t="s">
        <v>8</v>
      </c>
      <c r="E106" s="17" t="s">
        <v>151</v>
      </c>
      <c r="F106" s="11">
        <v>3</v>
      </c>
      <c r="G106" t="s">
        <v>11</v>
      </c>
    </row>
    <row r="107" spans="1:7">
      <c r="A107" s="7">
        <v>1</v>
      </c>
      <c r="B107" s="8" t="s">
        <v>11</v>
      </c>
      <c r="C107" s="8">
        <v>1911</v>
      </c>
      <c r="D107" s="8" t="s">
        <v>8</v>
      </c>
      <c r="E107" s="8" t="s">
        <v>151</v>
      </c>
      <c r="F107" s="11">
        <v>3</v>
      </c>
      <c r="G107" t="s">
        <v>12</v>
      </c>
    </row>
    <row r="108" spans="1:7">
      <c r="A108" s="7">
        <v>1</v>
      </c>
      <c r="B108" s="8" t="s">
        <v>152</v>
      </c>
      <c r="C108" s="8">
        <v>2002</v>
      </c>
      <c r="D108" s="8" t="s">
        <v>8</v>
      </c>
      <c r="E108" s="8" t="s">
        <v>151</v>
      </c>
      <c r="F108" s="11">
        <v>3</v>
      </c>
      <c r="G108" t="s">
        <v>41</v>
      </c>
    </row>
    <row r="109" spans="1:7">
      <c r="A109" s="7">
        <v>1</v>
      </c>
      <c r="B109" s="8" t="s">
        <v>22</v>
      </c>
      <c r="C109" s="8">
        <v>2009</v>
      </c>
      <c r="D109" s="8" t="s">
        <v>23</v>
      </c>
      <c r="E109" s="8" t="s">
        <v>151</v>
      </c>
      <c r="F109" s="11">
        <v>3</v>
      </c>
      <c r="G109" t="s">
        <v>26</v>
      </c>
    </row>
    <row r="110" spans="1:7">
      <c r="A110" s="7">
        <v>1</v>
      </c>
      <c r="B110" s="8" t="s">
        <v>16</v>
      </c>
      <c r="C110" s="8">
        <v>1920</v>
      </c>
      <c r="D110" s="8" t="s">
        <v>17</v>
      </c>
      <c r="E110" s="8" t="s">
        <v>151</v>
      </c>
      <c r="F110" s="11">
        <v>3</v>
      </c>
    </row>
    <row r="111" spans="1:7">
      <c r="A111" s="7">
        <v>1</v>
      </c>
      <c r="B111" s="8" t="s">
        <v>153</v>
      </c>
      <c r="C111" s="8">
        <v>1997</v>
      </c>
      <c r="D111" s="8" t="s">
        <v>23</v>
      </c>
      <c r="E111" s="8" t="s">
        <v>151</v>
      </c>
      <c r="F111" s="11">
        <v>3</v>
      </c>
      <c r="G111" t="s">
        <v>26</v>
      </c>
    </row>
    <row r="112" spans="1:7">
      <c r="A112" s="7">
        <v>1</v>
      </c>
      <c r="B112" s="8" t="s">
        <v>154</v>
      </c>
      <c r="C112" s="8">
        <v>2011</v>
      </c>
      <c r="D112" s="8" t="s">
        <v>8</v>
      </c>
      <c r="E112" s="8" t="s">
        <v>151</v>
      </c>
      <c r="F112" s="11">
        <v>3</v>
      </c>
      <c r="G112" t="s">
        <v>28</v>
      </c>
    </row>
    <row r="113" spans="1:7">
      <c r="A113" s="7">
        <v>1</v>
      </c>
      <c r="B113" s="8" t="s">
        <v>155</v>
      </c>
      <c r="C113" s="8">
        <v>1952</v>
      </c>
      <c r="D113" s="8" t="s">
        <v>8</v>
      </c>
      <c r="E113" s="8" t="s">
        <v>151</v>
      </c>
      <c r="F113" s="11">
        <v>3</v>
      </c>
      <c r="G113" t="s">
        <v>28</v>
      </c>
    </row>
    <row r="114" spans="1:7">
      <c r="A114" s="7">
        <v>1</v>
      </c>
      <c r="B114" s="8" t="s">
        <v>7</v>
      </c>
      <c r="C114" s="8">
        <v>2008</v>
      </c>
      <c r="D114" s="8" t="s">
        <v>8</v>
      </c>
      <c r="E114" s="8" t="s">
        <v>151</v>
      </c>
      <c r="F114" s="11">
        <v>3</v>
      </c>
      <c r="G114" t="s">
        <v>10</v>
      </c>
    </row>
    <row r="115" spans="1:7">
      <c r="A115" s="7">
        <v>1</v>
      </c>
      <c r="B115" s="8" t="s">
        <v>29</v>
      </c>
      <c r="C115" s="8">
        <v>1951</v>
      </c>
      <c r="D115" s="8" t="s">
        <v>8</v>
      </c>
      <c r="E115" s="8" t="s">
        <v>151</v>
      </c>
      <c r="F115" s="11">
        <v>3</v>
      </c>
      <c r="G115" t="s">
        <v>12</v>
      </c>
    </row>
    <row r="116" spans="1:7">
      <c r="A116" s="7">
        <v>1</v>
      </c>
      <c r="B116" s="8" t="s">
        <v>156</v>
      </c>
      <c r="C116" s="8">
        <v>2023</v>
      </c>
      <c r="D116" s="11" t="s">
        <v>38</v>
      </c>
      <c r="E116" s="8" t="s">
        <v>151</v>
      </c>
      <c r="F116" s="11">
        <v>3</v>
      </c>
    </row>
    <row r="117" spans="1:7">
      <c r="A117" s="7">
        <v>1</v>
      </c>
      <c r="B117" s="8" t="s">
        <v>157</v>
      </c>
      <c r="C117" s="8">
        <v>2019</v>
      </c>
      <c r="D117" s="8" t="s">
        <v>23</v>
      </c>
      <c r="E117" s="8" t="s">
        <v>151</v>
      </c>
      <c r="F117" s="11">
        <v>3</v>
      </c>
      <c r="G117" t="s">
        <v>26</v>
      </c>
    </row>
    <row r="118" spans="1:7">
      <c r="A118" s="7">
        <v>1</v>
      </c>
      <c r="B118" s="8" t="s">
        <v>20</v>
      </c>
      <c r="C118" s="8">
        <v>2003</v>
      </c>
      <c r="D118" s="8" t="s">
        <v>158</v>
      </c>
      <c r="E118" s="8" t="s">
        <v>151</v>
      </c>
      <c r="F118" s="11">
        <v>3</v>
      </c>
    </row>
    <row r="119" spans="1:7">
      <c r="A119" s="7">
        <v>1</v>
      </c>
      <c r="B119" s="8" t="s">
        <v>30</v>
      </c>
      <c r="C119" s="8">
        <v>1985</v>
      </c>
      <c r="D119" s="8" t="s">
        <v>8</v>
      </c>
      <c r="E119" s="8" t="s">
        <v>151</v>
      </c>
      <c r="F119" s="11">
        <v>3</v>
      </c>
      <c r="G119" t="s">
        <v>10</v>
      </c>
    </row>
    <row r="120" spans="1:7">
      <c r="A120" s="7">
        <v>1</v>
      </c>
      <c r="B120" s="8" t="s">
        <v>159</v>
      </c>
      <c r="C120" s="8">
        <v>1976</v>
      </c>
      <c r="D120" s="8" t="s">
        <v>8</v>
      </c>
      <c r="E120" s="8" t="s">
        <v>151</v>
      </c>
      <c r="F120" s="11">
        <v>3</v>
      </c>
      <c r="G120" t="s">
        <v>10</v>
      </c>
    </row>
    <row r="121" spans="1:7">
      <c r="A121" s="7">
        <v>1</v>
      </c>
      <c r="B121" s="8" t="s">
        <v>160</v>
      </c>
      <c r="C121" s="8">
        <v>2012</v>
      </c>
      <c r="D121" s="8" t="s">
        <v>8</v>
      </c>
      <c r="E121" s="8" t="s">
        <v>151</v>
      </c>
      <c r="F121" s="11">
        <v>3</v>
      </c>
      <c r="G121" t="s">
        <v>161</v>
      </c>
    </row>
    <row r="122" spans="1:7">
      <c r="A122" s="7">
        <v>1</v>
      </c>
      <c r="B122" s="8" t="s">
        <v>162</v>
      </c>
      <c r="C122" s="8">
        <v>2024</v>
      </c>
      <c r="D122" s="8" t="s">
        <v>8</v>
      </c>
      <c r="E122" s="8" t="s">
        <v>163</v>
      </c>
      <c r="F122" s="11">
        <v>2</v>
      </c>
      <c r="G122" t="s">
        <v>164</v>
      </c>
    </row>
    <row r="123" spans="1:7">
      <c r="A123" s="7">
        <v>1</v>
      </c>
      <c r="B123" s="8" t="s">
        <v>165</v>
      </c>
      <c r="C123" s="8">
        <v>1939</v>
      </c>
      <c r="D123" s="8" t="s">
        <v>23</v>
      </c>
      <c r="E123" s="8" t="s">
        <v>163</v>
      </c>
      <c r="F123" s="11">
        <v>2</v>
      </c>
      <c r="G123" t="s">
        <v>166</v>
      </c>
    </row>
    <row r="124" spans="1:7">
      <c r="A124" s="7">
        <v>1</v>
      </c>
      <c r="B124" s="8" t="s">
        <v>167</v>
      </c>
      <c r="C124" s="8">
        <v>2011</v>
      </c>
      <c r="D124" s="8" t="s">
        <v>23</v>
      </c>
      <c r="E124" s="8" t="s">
        <v>163</v>
      </c>
      <c r="F124" s="11">
        <v>2</v>
      </c>
      <c r="G124" t="s">
        <v>168</v>
      </c>
    </row>
    <row r="125" spans="1:7">
      <c r="A125" s="7">
        <v>1</v>
      </c>
      <c r="B125" s="8" t="s">
        <v>145</v>
      </c>
      <c r="C125" s="8">
        <v>1928</v>
      </c>
      <c r="D125" s="8" t="s">
        <v>169</v>
      </c>
      <c r="E125" s="8" t="s">
        <v>163</v>
      </c>
      <c r="F125" s="11">
        <v>2</v>
      </c>
    </row>
    <row r="126" spans="1:7">
      <c r="A126" s="7">
        <v>1</v>
      </c>
      <c r="B126" s="8" t="s">
        <v>32</v>
      </c>
      <c r="C126" s="8">
        <v>1924</v>
      </c>
      <c r="D126" s="8" t="s">
        <v>170</v>
      </c>
      <c r="E126" s="8" t="s">
        <v>163</v>
      </c>
      <c r="F126" s="11">
        <v>2</v>
      </c>
    </row>
    <row r="127" spans="1:7">
      <c r="A127" s="7">
        <v>1</v>
      </c>
      <c r="B127" s="8" t="s">
        <v>171</v>
      </c>
      <c r="C127" s="8">
        <v>2004</v>
      </c>
      <c r="D127" s="10" t="s">
        <v>54</v>
      </c>
      <c r="E127" s="8" t="s">
        <v>163</v>
      </c>
      <c r="F127" s="11">
        <v>2</v>
      </c>
    </row>
    <row r="128" spans="1:7">
      <c r="A128" s="7">
        <v>1</v>
      </c>
      <c r="B128" s="8" t="s">
        <v>172</v>
      </c>
      <c r="C128" s="8">
        <v>2020</v>
      </c>
      <c r="D128" s="8" t="s">
        <v>169</v>
      </c>
      <c r="E128" s="8" t="s">
        <v>163</v>
      </c>
      <c r="F128" s="11">
        <v>2</v>
      </c>
    </row>
    <row r="129" spans="1:7">
      <c r="A129" s="7">
        <v>1</v>
      </c>
      <c r="B129" s="8" t="s">
        <v>173</v>
      </c>
      <c r="C129" s="8">
        <v>1976</v>
      </c>
      <c r="D129" s="8" t="s">
        <v>23</v>
      </c>
      <c r="E129" s="8" t="s">
        <v>163</v>
      </c>
      <c r="F129" s="11">
        <v>2</v>
      </c>
      <c r="G129" t="s">
        <v>174</v>
      </c>
    </row>
    <row r="130" spans="1:7">
      <c r="A130" s="7">
        <v>1</v>
      </c>
      <c r="B130" s="8" t="s">
        <v>175</v>
      </c>
      <c r="C130" s="8">
        <v>2003</v>
      </c>
      <c r="D130" s="8" t="s">
        <v>70</v>
      </c>
      <c r="E130" s="8" t="s">
        <v>163</v>
      </c>
      <c r="F130" s="11">
        <v>2</v>
      </c>
      <c r="G130" t="s">
        <v>26</v>
      </c>
    </row>
    <row r="131" spans="1:7">
      <c r="A131" s="7">
        <v>1</v>
      </c>
      <c r="B131" s="8" t="s">
        <v>176</v>
      </c>
      <c r="C131" s="8">
        <v>2001</v>
      </c>
      <c r="D131" s="8" t="s">
        <v>8</v>
      </c>
      <c r="E131" s="8" t="s">
        <v>163</v>
      </c>
      <c r="F131" s="11">
        <v>2</v>
      </c>
      <c r="G131" t="s">
        <v>177</v>
      </c>
    </row>
    <row r="132" spans="1:7">
      <c r="A132" s="7">
        <v>1</v>
      </c>
      <c r="B132" s="8" t="s">
        <v>29</v>
      </c>
      <c r="C132" s="8">
        <v>1951</v>
      </c>
      <c r="D132" s="8" t="s">
        <v>8</v>
      </c>
      <c r="E132" s="8" t="s">
        <v>163</v>
      </c>
      <c r="F132" s="11">
        <v>2</v>
      </c>
      <c r="G132" t="s">
        <v>12</v>
      </c>
    </row>
    <row r="133" spans="1:7">
      <c r="A133" s="8"/>
      <c r="B133" s="10"/>
      <c r="C133" s="10"/>
      <c r="D133" s="10"/>
      <c r="E133" s="10"/>
    </row>
    <row r="134" spans="1:7">
      <c r="A134" s="8"/>
      <c r="B134" s="10"/>
      <c r="C134" s="10"/>
      <c r="D134" s="10"/>
      <c r="E134" s="10"/>
    </row>
    <row r="135" spans="1:7">
      <c r="A135" s="8"/>
      <c r="B135" s="10"/>
      <c r="C135" s="10"/>
      <c r="D135" s="10"/>
      <c r="E135" s="10"/>
    </row>
    <row r="136" spans="1:7">
      <c r="A136" s="8"/>
      <c r="B136" s="10"/>
      <c r="C136" s="10"/>
      <c r="D136" s="10"/>
      <c r="E136" s="10"/>
    </row>
    <row r="137" spans="1:7">
      <c r="A137" s="8"/>
      <c r="B137" s="10"/>
      <c r="C137" s="10"/>
      <c r="D137" s="10"/>
      <c r="E137" s="10"/>
    </row>
    <row r="138" spans="1:7">
      <c r="A138" s="8"/>
      <c r="B138" s="10"/>
      <c r="C138" s="10"/>
      <c r="D138" s="10"/>
      <c r="E138" s="10"/>
    </row>
    <row r="139" spans="1:7">
      <c r="A139" s="5"/>
      <c r="B139" s="5"/>
      <c r="C139" s="5"/>
      <c r="D139" s="5"/>
      <c r="E139" s="5"/>
    </row>
  </sheetData>
  <autoFilter ref="A1:E1001" xr:uid="{00000000-0009-0000-0000-000000000000}"/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K32"/>
  <sheetViews>
    <sheetView workbookViewId="0">
      <pane xSplit="1" topLeftCell="B1" activePane="topRight" state="frozen"/>
      <selection pane="topRight" activeCell="S10" sqref="S10"/>
    </sheetView>
  </sheetViews>
  <sheetFormatPr defaultColWidth="12.5703125" defaultRowHeight="15.75" customHeight="1"/>
  <cols>
    <col min="2" max="3" width="12.5703125" customWidth="1"/>
    <col min="4" max="4" width="15" customWidth="1"/>
    <col min="5" max="5" width="12.5703125" customWidth="1"/>
    <col min="6" max="8" width="15.28515625" customWidth="1"/>
    <col min="9" max="10" width="18.5703125" customWidth="1"/>
    <col min="11" max="11" width="12.5703125" customWidth="1"/>
    <col min="12" max="12" width="15" customWidth="1"/>
    <col min="13" max="16" width="12.5703125" customWidth="1"/>
    <col min="17" max="17" width="12.5703125" hidden="1" customWidth="1"/>
    <col min="18" max="18" width="12.5703125" customWidth="1"/>
    <col min="19" max="19" width="16.42578125" customWidth="1"/>
    <col min="20" max="23" width="12.5703125" customWidth="1"/>
    <col min="24" max="24" width="14.7109375" customWidth="1"/>
    <col min="25" max="25" width="27.5703125" customWidth="1"/>
  </cols>
  <sheetData>
    <row r="1" spans="1:37" ht="12.75">
      <c r="A1" s="3" t="s">
        <v>178</v>
      </c>
      <c r="B1" s="3" t="s">
        <v>179</v>
      </c>
      <c r="C1" s="3" t="s">
        <v>180</v>
      </c>
      <c r="D1" s="3" t="s">
        <v>181</v>
      </c>
      <c r="E1" s="3" t="s">
        <v>182</v>
      </c>
      <c r="F1" s="3" t="s">
        <v>183</v>
      </c>
      <c r="G1" s="3" t="s">
        <v>184</v>
      </c>
      <c r="H1" s="3" t="s">
        <v>185</v>
      </c>
      <c r="I1" s="3" t="s">
        <v>186</v>
      </c>
      <c r="J1" s="3" t="s">
        <v>187</v>
      </c>
      <c r="K1" s="3" t="s">
        <v>188</v>
      </c>
      <c r="L1" s="3" t="s">
        <v>189</v>
      </c>
      <c r="M1" s="3" t="s">
        <v>190</v>
      </c>
      <c r="N1" s="3" t="s">
        <v>191</v>
      </c>
      <c r="O1" s="3" t="s">
        <v>192</v>
      </c>
      <c r="P1" s="3" t="s">
        <v>193</v>
      </c>
      <c r="Q1" s="3" t="s">
        <v>5</v>
      </c>
      <c r="R1" s="3" t="s">
        <v>194</v>
      </c>
      <c r="S1" s="3" t="s">
        <v>195</v>
      </c>
      <c r="T1" s="3" t="s">
        <v>196</v>
      </c>
      <c r="U1" s="3" t="s">
        <v>197</v>
      </c>
      <c r="V1" s="3" t="s">
        <v>198</v>
      </c>
      <c r="W1" s="3" t="s">
        <v>199</v>
      </c>
      <c r="X1" s="3" t="s">
        <v>200</v>
      </c>
      <c r="Y1" s="3" t="s">
        <v>201</v>
      </c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</row>
    <row r="2" spans="1:37" ht="12.75">
      <c r="A2" s="10" t="s">
        <v>8</v>
      </c>
      <c r="B2" s="13">
        <v>10492097</v>
      </c>
      <c r="C2" s="11">
        <v>2837</v>
      </c>
      <c r="D2" s="21">
        <f>SUM(B2/C2)</f>
        <v>3698.3070144518856</v>
      </c>
      <c r="E2" s="14">
        <v>413541</v>
      </c>
      <c r="F2" s="15">
        <v>41169</v>
      </c>
      <c r="G2" s="23">
        <f>(D2-AVERAGE(D$2:D$28))/_xlfn.STDEV.P(D$2:D$28)</f>
        <v>2.2107871250836837</v>
      </c>
      <c r="H2" s="23">
        <f>(E2-AVERAGE(E$2:E$28))/_xlfn.STDEV.P(E$2:E$28)</f>
        <v>4.5481114693671758</v>
      </c>
      <c r="I2" s="23">
        <f>(F2-AVERAGE(F$2:F$28))/_xlfn.STDEV.P(F$2:F$28)</f>
        <v>0.88488902392298818</v>
      </c>
      <c r="J2" s="24">
        <f>SUM((I2*0.3)+(H2*0.4)+(G2*0.3))</f>
        <v>2.7479474324488717</v>
      </c>
      <c r="K2">
        <f>COUNTIFS(Clubs!D:D,"*Cairo*")</f>
        <v>33</v>
      </c>
      <c r="L2">
        <f>COUNTIFS(Clubs!$D$2:D22,"*Cairo*")</f>
        <v>9</v>
      </c>
      <c r="M2">
        <f>COUNTIFS(Clubs!$D$23:$D$40,"*Cairo*")</f>
        <v>5</v>
      </c>
      <c r="N2">
        <f>COUNTIFS(Clubs!$D$41:$D$104,"*Cairo*")</f>
        <v>5</v>
      </c>
      <c r="O2">
        <f>COUNTIFS(Clubs!$D$105:$D$121,"*Cairo*")</f>
        <v>11</v>
      </c>
      <c r="P2">
        <f>COUNTIFS(Clubs!$D$122:$D$132,"*Cairo*")</f>
        <v>3</v>
      </c>
      <c r="Q2">
        <f>SUMIF(Clubs!D:D,"*Cairo*",Clubs!F:F)</f>
        <v>104</v>
      </c>
      <c r="R2" s="26">
        <f>(K2-AVERAGE(K$2:K$28))/_xlfn.STDEV.P(K$2:K$28)</f>
        <v>4.4151734199288146</v>
      </c>
      <c r="S2" s="26">
        <f>(L2-AVERAGE(L$2:L$28))/_xlfn.STDEV.P(L$2:L$28)</f>
        <v>4.438225064890096</v>
      </c>
      <c r="T2" s="26">
        <f>(M2-AVERAGE(M$2:M$28))/_xlfn.STDEV.P(M$2:M$28)</f>
        <v>3.7527767497325675</v>
      </c>
      <c r="U2" s="26">
        <f>(N2-AVERAGE(N$2:N$28))/_xlfn.STDEV.P(N$2:N$28)</f>
        <v>1.5852321964463281</v>
      </c>
      <c r="V2" s="26">
        <f>(O2-AVERAGE(O$2:O$28))/_xlfn.STDEV.P(O$2:O$28)</f>
        <v>4.8726980152591395</v>
      </c>
      <c r="W2" s="26">
        <f>(P2-AVERAGE(P$2:P$28))/_xlfn.STDEV.P(P$2:P$28)</f>
        <v>2.6160228246317754</v>
      </c>
      <c r="X2" s="25">
        <f>SUM(R2*0.3)+(S2*0.3)+(T2*0.15)*(U2*0.07)*(V2*0.15)*(W2*0.03)</f>
        <v>2.6596026415124974</v>
      </c>
      <c r="Y2" s="25">
        <f>SUM(X2-J2)</f>
        <v>-8.8344790936374373E-2</v>
      </c>
    </row>
    <row r="3" spans="1:37" ht="12.75">
      <c r="A3" s="10" t="s">
        <v>19</v>
      </c>
      <c r="B3" s="13">
        <v>5666831</v>
      </c>
      <c r="C3" s="11">
        <v>2384</v>
      </c>
      <c r="D3" s="21">
        <f>SUM(B3/C3)</f>
        <v>2377.0264261744965</v>
      </c>
      <c r="E3" s="14">
        <v>124697</v>
      </c>
      <c r="F3" s="15">
        <v>22914</v>
      </c>
      <c r="G3" s="23">
        <f>(D3-AVERAGE(D$2:D$28))/_xlfn.STDEV.P(D$2:D$28)</f>
        <v>1.1285481035308755</v>
      </c>
      <c r="H3" s="23">
        <f>(E3-AVERAGE(E$2:E$28))/_xlfn.STDEV.P(E$2:E$28)</f>
        <v>0.90079178953523353</v>
      </c>
      <c r="I3" s="23">
        <f>(F3-AVERAGE(F$2:F$28))/_xlfn.STDEV.P(F$2:F$28)</f>
        <v>9.7234862324157623E-2</v>
      </c>
      <c r="J3" s="24">
        <f t="shared" ref="J3:J28" si="0">SUM((I3*0.3)+(H3*0.4)+(G3*0.3))</f>
        <v>0.72805160557060333</v>
      </c>
      <c r="K3">
        <f>COUNTIFS(Clubs!D:D,"*Alexandria*")</f>
        <v>11</v>
      </c>
      <c r="L3">
        <f>COUNTIFS(Clubs!$D$2:$D$22,"*Alexandria*")</f>
        <v>4</v>
      </c>
      <c r="M3">
        <f>COUNTIFS(Clubs!$D$23:$D$40,"*Alexandria*")</f>
        <v>1</v>
      </c>
      <c r="N3">
        <f>COUNTIFS(Clubs!$D$41:$D$104,"*Alexandria*")</f>
        <v>6</v>
      </c>
      <c r="O3">
        <f>COUNTIFS(Clubs!$D$105:$D$121,"*Alexandria*")</f>
        <v>0</v>
      </c>
      <c r="P3">
        <f>COUNTIFS(Clubs!$D$122:$D$132,"*Alexandria*")</f>
        <v>0</v>
      </c>
      <c r="Q3">
        <f>SUMIF(Clubs!D:D,"*Alexandria*",Clubs!F:F)</f>
        <v>29</v>
      </c>
      <c r="R3" s="26">
        <f>(K3-AVERAGE(K$2:K$28))/_xlfn.STDEV.P(K$2:K$28)</f>
        <v>0.96436682593181988</v>
      </c>
      <c r="S3" s="26">
        <f>(L3-AVERAGE(L$2:L$28))/_xlfn.STDEV.P(L$2:L$28)</f>
        <v>1.7393044173217949</v>
      </c>
      <c r="T3" s="26">
        <f>(M3-AVERAGE(M$2:M$28))/_xlfn.STDEV.P(M$2:M$28)</f>
        <v>0.28867513459481292</v>
      </c>
      <c r="U3" s="26">
        <f>(N3-AVERAGE(N$2:N$28))/_xlfn.STDEV.P(N$2:N$28)</f>
        <v>2.1880669753766218</v>
      </c>
      <c r="V3" s="26">
        <f>(O3-AVERAGE(O$2:O$28))/_xlfn.STDEV.P(O$2:O$28)</f>
        <v>-0.29584237949787634</v>
      </c>
      <c r="W3" s="26">
        <f>(P3-AVERAGE(P$2:P$28))/_xlfn.STDEV.P(P$2:P$28)</f>
        <v>-0.41108930101356472</v>
      </c>
      <c r="X3" s="25">
        <f>SUM(R3*0.3)+(S3*0.3)+(T3*0.15)*(U3*0.07)*(V3*0.15)*(W3*0.03)</f>
        <v>0.81110500265628216</v>
      </c>
      <c r="Y3" s="25">
        <f>SUM(X3-J3)</f>
        <v>8.3053397085678826E-2</v>
      </c>
    </row>
    <row r="4" spans="1:37" ht="12.75">
      <c r="A4" s="10" t="s">
        <v>36</v>
      </c>
      <c r="B4" s="13">
        <v>814520</v>
      </c>
      <c r="C4" s="11">
        <v>9054</v>
      </c>
      <c r="D4" s="21">
        <f>SUM(B4/C4)</f>
        <v>89.962447537000216</v>
      </c>
      <c r="E4" s="14">
        <v>26251</v>
      </c>
      <c r="F4" s="15">
        <v>33923</v>
      </c>
      <c r="G4" s="23">
        <f>(D4-AVERAGE(D$2:D$28))/_xlfn.STDEV.P(D$2:D$28)</f>
        <v>-0.7447480793005673</v>
      </c>
      <c r="H4" s="23">
        <f>(E4-AVERAGE(E$2:E$28))/_xlfn.STDEV.P(E$2:E$28)</f>
        <v>-0.34231533126608271</v>
      </c>
      <c r="I4" s="23">
        <f>(F4-AVERAGE(F$2:F$28))/_xlfn.STDEV.P(F$2:F$28)</f>
        <v>0.57224360869728963</v>
      </c>
      <c r="J4" s="24">
        <f t="shared" si="0"/>
        <v>-0.18867747368741641</v>
      </c>
      <c r="K4">
        <f>COUNTIFS(Clubs!D:D,"*Suez*")</f>
        <v>2</v>
      </c>
      <c r="L4">
        <f>COUNTIFS(Clubs!$D$2:$D$22,"*Suez*")</f>
        <v>1</v>
      </c>
      <c r="M4">
        <f>COUNTIFS(Clubs!$D$23:$D$40,"*Suez*")</f>
        <v>0</v>
      </c>
      <c r="N4">
        <f>COUNTIFS(Clubs!$D$41:$D$104,"*Suez*")</f>
        <v>1</v>
      </c>
      <c r="O4">
        <f>COUNTIFS(Clubs!$D$105:$D$121,"*Suez*")</f>
        <v>0</v>
      </c>
      <c r="P4">
        <f>COUNTIFS(Clubs!$D$122:$D$132,"*Suez*")</f>
        <v>0</v>
      </c>
      <c r="Q4">
        <f>SUMIF(Clubs!D:D,"*Suez*",Clubs!F:F)</f>
        <v>6</v>
      </c>
      <c r="R4" s="26">
        <f>(K4-AVERAGE(K$2:K$28))/_xlfn.STDEV.P(K$2:K$28)</f>
        <v>-0.44732678070331411</v>
      </c>
      <c r="S4" s="26">
        <f>(L4-AVERAGE(L$2:L$28))/_xlfn.STDEV.P(L$2:L$28)</f>
        <v>0.11995202878081342</v>
      </c>
      <c r="T4" s="26">
        <f>(M4-AVERAGE(M$2:M$28))/_xlfn.STDEV.P(M$2:M$28)</f>
        <v>-0.57735026918962573</v>
      </c>
      <c r="U4" s="26">
        <f>(N4-AVERAGE(N$2:N$28))/_xlfn.STDEV.P(N$2:N$28)</f>
        <v>-0.82610691927484692</v>
      </c>
      <c r="V4" s="26">
        <f>(O4-AVERAGE(O$2:O$28))/_xlfn.STDEV.P(O$2:O$28)</f>
        <v>-0.29584237949787634</v>
      </c>
      <c r="W4" s="26">
        <f>(P4-AVERAGE(P$2:P$28))/_xlfn.STDEV.P(P$2:P$28)</f>
        <v>-0.41108930101356472</v>
      </c>
      <c r="X4" s="25">
        <f>SUM(R4*0.3)+(S4*0.3)+(T4*0.15)*(U4*0.07)*(V4*0.15)*(W4*0.03)</f>
        <v>-9.8209684797825395E-2</v>
      </c>
      <c r="Y4" s="25">
        <f>SUM(X4-J4)</f>
        <v>9.0467788889591019E-2</v>
      </c>
    </row>
    <row r="5" spans="1:37" ht="12.75">
      <c r="A5" s="10" t="s">
        <v>17</v>
      </c>
      <c r="B5" s="13">
        <v>804500</v>
      </c>
      <c r="C5" s="11">
        <v>1373</v>
      </c>
      <c r="D5" s="21">
        <f>SUM(B5/C5)</f>
        <v>585.94319009468313</v>
      </c>
      <c r="E5" s="14">
        <v>41903</v>
      </c>
      <c r="F5" s="15">
        <v>53686</v>
      </c>
      <c r="G5" s="23">
        <f>(D5-AVERAGE(D$2:D$28))/_xlfn.STDEV.P(D$2:D$28)</f>
        <v>-0.33849847698523172</v>
      </c>
      <c r="H5" s="23">
        <f>(E5-AVERAGE(E$2:E$28))/_xlfn.STDEV.P(E$2:E$28)</f>
        <v>-0.14467284041036277</v>
      </c>
      <c r="I5" s="23">
        <f>(F5-AVERAGE(F$2:F$28))/_xlfn.STDEV.P(F$2:F$28)</f>
        <v>1.4249639152257854</v>
      </c>
      <c r="J5" s="24">
        <f t="shared" si="0"/>
        <v>0.26807049530802096</v>
      </c>
      <c r="K5">
        <f>COUNTIFS(Clubs!D:D,"*Port Said*")</f>
        <v>4</v>
      </c>
      <c r="L5">
        <f>COUNTIFS(Clubs!$D$2:$D$22,"*Port Said*")</f>
        <v>1</v>
      </c>
      <c r="M5">
        <f>COUNTIFS(Clubs!$D$23:$D$40,"*Port Said*")</f>
        <v>0</v>
      </c>
      <c r="N5">
        <f>COUNTIFS(Clubs!$D$41:$D$104,"*Port Said*")</f>
        <v>2</v>
      </c>
      <c r="O5">
        <f>COUNTIFS(Clubs!$D$105:$D$121,"*Port Said*")</f>
        <v>1</v>
      </c>
      <c r="P5">
        <f>COUNTIFS(Clubs!$D$122:$D$132,"*Port Said*")</f>
        <v>0</v>
      </c>
      <c r="Q5">
        <f>SUMIF(Clubs!D:D,"*Port Said*",Clubs!F:F)</f>
        <v>10</v>
      </c>
      <c r="R5" s="26">
        <f>(K5-AVERAGE(K$2:K$28))/_xlfn.STDEV.P(K$2:K$28)</f>
        <v>-0.13361709033995101</v>
      </c>
      <c r="S5" s="26">
        <f>(L5-AVERAGE(L$2:L$28))/_xlfn.STDEV.P(L$2:L$28)</f>
        <v>0.11995202878081342</v>
      </c>
      <c r="T5" s="26">
        <f>(M5-AVERAGE(M$2:M$28))/_xlfn.STDEV.P(M$2:M$28)</f>
        <v>-0.57735026918962573</v>
      </c>
      <c r="U5" s="26">
        <f>(N5-AVERAGE(N$2:N$28))/_xlfn.STDEV.P(N$2:N$28)</f>
        <v>-0.22327214034455317</v>
      </c>
      <c r="V5" s="26">
        <f>(O5-AVERAGE(O$2:O$28))/_xlfn.STDEV.P(O$2:O$28)</f>
        <v>0.17402492911639783</v>
      </c>
      <c r="W5" s="26">
        <f>(P5-AVERAGE(P$2:P$28))/_xlfn.STDEV.P(P$2:P$28)</f>
        <v>-0.41108930101356472</v>
      </c>
      <c r="X5" s="25">
        <f>SUM(R5*0.3)+(S5*0.3)+(T5*0.15)*(U5*0.07)*(V5*0.15)*(W5*0.03)</f>
        <v>-4.0999542036593718E-3</v>
      </c>
      <c r="Y5" s="25">
        <f>SUM(X5-J5)</f>
        <v>-0.27217044951168035</v>
      </c>
    </row>
    <row r="6" spans="1:37" ht="12.75">
      <c r="A6" s="10" t="s">
        <v>50</v>
      </c>
      <c r="B6" s="13">
        <v>7144387</v>
      </c>
      <c r="C6" s="11">
        <v>10643</v>
      </c>
      <c r="D6" s="21">
        <f>SUM(B6/C6)</f>
        <v>671.27567415202475</v>
      </c>
      <c r="E6" s="14">
        <v>63653</v>
      </c>
      <c r="F6" s="15">
        <v>9533</v>
      </c>
      <c r="G6" s="23">
        <f>(D6-AVERAGE(D$2:D$28))/_xlfn.STDEV.P(D$2:D$28)</f>
        <v>-0.26860405420158295</v>
      </c>
      <c r="H6" s="23">
        <f>(E6-AVERAGE(E$2:E$28))/_xlfn.STDEV.P(E$2:E$28)</f>
        <v>0.12997092243859634</v>
      </c>
      <c r="I6" s="23">
        <f>(F6-AVERAGE(F$2:F$28))/_xlfn.STDEV.P(F$2:F$28)</f>
        <v>-0.4801193056492169</v>
      </c>
      <c r="J6" s="24">
        <f t="shared" si="0"/>
        <v>-0.17262863897980141</v>
      </c>
      <c r="K6">
        <f>COUNTIFS(Clubs!D:D,"*Beheira*")</f>
        <v>4</v>
      </c>
      <c r="L6">
        <f>COUNTIFS(Clubs!$D$2:$D$22,"*Beheira*")</f>
        <v>0</v>
      </c>
      <c r="M6">
        <f>COUNTIFS(Clubs!$D$23:$D$40,"*Beheira*")</f>
        <v>2</v>
      </c>
      <c r="N6">
        <f>COUNTIFS(Clubs!$D$41:$D$104,"*Beheira*")</f>
        <v>2</v>
      </c>
      <c r="O6">
        <f>COUNTIFS(Clubs!$D$105:$D$121,"*Beheira*")</f>
        <v>0</v>
      </c>
      <c r="P6">
        <f>COUNTIFS(Clubs!$D$122:$D$132,"*Beheira*")</f>
        <v>0</v>
      </c>
      <c r="Q6">
        <f>SUMIF(Clubs!D:D,"*Beheira*",Clubs!F:F)</f>
        <v>8</v>
      </c>
      <c r="R6" s="26">
        <f>(K6-AVERAGE(K$2:K$28))/_xlfn.STDEV.P(K$2:K$28)</f>
        <v>-0.13361709033995101</v>
      </c>
      <c r="S6" s="26">
        <f>(L6-AVERAGE(L$2:L$28))/_xlfn.STDEV.P(L$2:L$28)</f>
        <v>-0.41983210073284699</v>
      </c>
      <c r="T6" s="26">
        <f>(M6-AVERAGE(M$2:M$28))/_xlfn.STDEV.P(M$2:M$28)</f>
        <v>1.1547005383792517</v>
      </c>
      <c r="U6" s="26">
        <f>(N6-AVERAGE(N$2:N$28))/_xlfn.STDEV.P(N$2:N$28)</f>
        <v>-0.22327214034455317</v>
      </c>
      <c r="V6" s="26">
        <f>(O6-AVERAGE(O$2:O$28))/_xlfn.STDEV.P(O$2:O$28)</f>
        <v>-0.29584237949787634</v>
      </c>
      <c r="W6" s="26">
        <f>(P6-AVERAGE(P$2:P$28))/_xlfn.STDEV.P(P$2:P$28)</f>
        <v>-0.41108930101356472</v>
      </c>
      <c r="X6" s="25">
        <f>SUM(R6*0.3)+(S6*0.3)+(T6*0.15)*(U6*0.07)*(V6*0.15)*(W6*0.03)</f>
        <v>-0.1660362388239609</v>
      </c>
      <c r="Y6" s="25">
        <f>SUM(X6-J6)</f>
        <v>6.5924001558405054E-3</v>
      </c>
    </row>
    <row r="7" spans="1:37" ht="12.75">
      <c r="A7" s="10" t="s">
        <v>61</v>
      </c>
      <c r="B7" s="13">
        <v>7244592</v>
      </c>
      <c r="C7" s="11">
        <v>3908</v>
      </c>
      <c r="D7" s="21">
        <f>SUM(B7/C7)</f>
        <v>1853.7850562947799</v>
      </c>
      <c r="E7" s="14">
        <v>64790</v>
      </c>
      <c r="F7" s="15">
        <v>9403</v>
      </c>
      <c r="G7" s="23">
        <f>(D7-AVERAGE(D$2:D$28))/_xlfn.STDEV.P(D$2:D$28)</f>
        <v>0.69996977338765509</v>
      </c>
      <c r="H7" s="23">
        <f>(E7-AVERAGE(E$2:E$28))/_xlfn.STDEV.P(E$2:E$28)</f>
        <v>0.14432816190339021</v>
      </c>
      <c r="I7" s="23">
        <f>(F7-AVERAGE(F$2:F$28))/_xlfn.STDEV.P(F$2:F$28)</f>
        <v>-0.48572845607418802</v>
      </c>
      <c r="J7" s="24">
        <f t="shared" si="0"/>
        <v>0.12200365995539619</v>
      </c>
      <c r="K7">
        <f>COUNTIFS(Clubs!D:D,"*Dakahlia*")</f>
        <v>6</v>
      </c>
      <c r="L7">
        <f>COUNTIFS(Clubs!$D$2:$D$22,"*Dakahlia*")</f>
        <v>0</v>
      </c>
      <c r="M7">
        <f>COUNTIFS(Clubs!$D$23:$D$40,"*Dakahlia*")</f>
        <v>1</v>
      </c>
      <c r="N7">
        <f>COUNTIFS(Clubs!$D$41:$D$104,"*Dakahlia*")</f>
        <v>5</v>
      </c>
      <c r="O7">
        <f>COUNTIFS(Clubs!$D$105:$D$121,"*Dakahlia*")</f>
        <v>0</v>
      </c>
      <c r="P7">
        <f>COUNTIFS(Clubs!$D$122:$D$132,"*Dakahlia*")</f>
        <v>0</v>
      </c>
      <c r="Q7">
        <f>SUMIF(Clubs!D:D,"*Dakahlia*",Clubs!F:F)</f>
        <v>8</v>
      </c>
      <c r="R7" s="26">
        <f>(K7-AVERAGE(K$2:K$28))/_xlfn.STDEV.P(K$2:K$28)</f>
        <v>0.18009260002341212</v>
      </c>
      <c r="S7" s="26">
        <f>(L7-AVERAGE(L$2:L$28))/_xlfn.STDEV.P(L$2:L$28)</f>
        <v>-0.41983210073284699</v>
      </c>
      <c r="T7" s="26">
        <f>(M7-AVERAGE(M$2:M$28))/_xlfn.STDEV.P(M$2:M$28)</f>
        <v>0.28867513459481292</v>
      </c>
      <c r="U7" s="26">
        <f>(N7-AVERAGE(N$2:N$28))/_xlfn.STDEV.P(N$2:N$28)</f>
        <v>1.5852321964463281</v>
      </c>
      <c r="V7" s="26">
        <f>(O7-AVERAGE(O$2:O$28))/_xlfn.STDEV.P(O$2:O$28)</f>
        <v>-0.29584237949787634</v>
      </c>
      <c r="W7" s="26">
        <f>(P7-AVERAGE(P$2:P$28))/_xlfn.STDEV.P(P$2:P$28)</f>
        <v>-0.41108930101356472</v>
      </c>
      <c r="X7" s="25">
        <f>SUM(R7*0.3)+(S7*0.3)+(T7*0.15)*(U7*0.07)*(V7*0.15)*(W7*0.03)</f>
        <v>-7.1919220546564772E-2</v>
      </c>
      <c r="Y7" s="25">
        <f>SUM(X7-J7)</f>
        <v>-0.19392288050196096</v>
      </c>
    </row>
    <row r="8" spans="1:37" ht="12.75">
      <c r="A8" s="10" t="s">
        <v>202</v>
      </c>
      <c r="B8" s="13">
        <v>1657242</v>
      </c>
      <c r="C8" s="11">
        <v>964</v>
      </c>
      <c r="D8" s="21">
        <f>SUM(B8/C8)</f>
        <v>1719.130705394191</v>
      </c>
      <c r="E8" s="14">
        <v>24314</v>
      </c>
      <c r="F8" s="15">
        <v>15338</v>
      </c>
      <c r="G8" s="23">
        <f>(D8-AVERAGE(D$2:D$28))/_xlfn.STDEV.P(D$2:D$28)</f>
        <v>0.58967662728424186</v>
      </c>
      <c r="H8" s="23">
        <f>(E8-AVERAGE(E$2:E$28))/_xlfn.STDEV.P(E$2:E$28)</f>
        <v>-0.3667744102839417</v>
      </c>
      <c r="I8" s="23">
        <f>(F8-AVERAGE(F$2:F$28))/_xlfn.STDEV.P(F$2:F$28)</f>
        <v>-0.22964916551877529</v>
      </c>
      <c r="J8" s="24">
        <f t="shared" si="0"/>
        <v>-3.8701525583936719E-2</v>
      </c>
      <c r="K8">
        <f>COUNTIFS(Clubs!D:D,"*Damietta*")</f>
        <v>2</v>
      </c>
      <c r="L8">
        <f>COUNTIFS(Clubs!$D$2:$D$22,"*Damietta*")</f>
        <v>0</v>
      </c>
      <c r="M8">
        <f>COUNTIFS(Clubs!$D$23:$D$40,"*Damietta*")</f>
        <v>0</v>
      </c>
      <c r="N8">
        <f>COUNTIFS(Clubs!$D$41:$D$104,"*Damietta*")</f>
        <v>2</v>
      </c>
      <c r="O8">
        <f>COUNTIFS(Clubs!$D$105:$D$121,"*Damietta*")</f>
        <v>0</v>
      </c>
      <c r="P8">
        <f>COUNTIFS(Clubs!$D$122:$D$132,"*Damietta*")</f>
        <v>0</v>
      </c>
      <c r="Q8">
        <f>SUMIF(Clubs!D:D,"*Damietta*",Clubs!F:F)</f>
        <v>2</v>
      </c>
      <c r="R8" s="26">
        <f>(K8-AVERAGE(K$2:K$28))/_xlfn.STDEV.P(K$2:K$28)</f>
        <v>-0.44732678070331411</v>
      </c>
      <c r="S8" s="26">
        <f>(L8-AVERAGE(L$2:L$28))/_xlfn.STDEV.P(L$2:L$28)</f>
        <v>-0.41983210073284699</v>
      </c>
      <c r="T8" s="26">
        <f>(M8-AVERAGE(M$2:M$28))/_xlfn.STDEV.P(M$2:M$28)</f>
        <v>-0.57735026918962573</v>
      </c>
      <c r="U8" s="26">
        <f>(N8-AVERAGE(N$2:N$28))/_xlfn.STDEV.P(N$2:N$28)</f>
        <v>-0.22327214034455317</v>
      </c>
      <c r="V8" s="26">
        <f>(O8-AVERAGE(O$2:O$28))/_xlfn.STDEV.P(O$2:O$28)</f>
        <v>-0.29584237949787634</v>
      </c>
      <c r="W8" s="26">
        <f>(P8-AVERAGE(P$2:P$28))/_xlfn.STDEV.P(P$2:P$28)</f>
        <v>-0.41108930101356472</v>
      </c>
      <c r="X8" s="25">
        <f>SUM(R8*0.3)+(S8*0.3)+(T8*0.15)*(U8*0.07)*(V8*0.15)*(W8*0.03)</f>
        <v>-0.26014692367978753</v>
      </c>
      <c r="Y8" s="25">
        <f>SUM(X8-J8)</f>
        <v>-0.22144539809585082</v>
      </c>
    </row>
    <row r="9" spans="1:37" ht="12.75">
      <c r="A9" s="10" t="s">
        <v>38</v>
      </c>
      <c r="B9" s="13">
        <v>5587434</v>
      </c>
      <c r="C9" s="11">
        <v>1946</v>
      </c>
      <c r="D9" s="21">
        <f>SUM(B9/C9)</f>
        <v>2871.2404933196299</v>
      </c>
      <c r="E9" s="14">
        <v>38290</v>
      </c>
      <c r="F9" s="15">
        <v>7212</v>
      </c>
      <c r="G9" s="23">
        <f>(D9-AVERAGE(D$2:D$28))/_xlfn.STDEV.P(D$2:D$28)</f>
        <v>1.5333506513092399</v>
      </c>
      <c r="H9" s="23">
        <f>(E9-AVERAGE(E$2:E$28))/_xlfn.STDEV.P(E$2:E$28)</f>
        <v>-0.19029527329189333</v>
      </c>
      <c r="I9" s="23">
        <f>(F9-AVERAGE(F$2:F$28))/_xlfn.STDEV.P(F$2:F$28)</f>
        <v>-0.58026421439043219</v>
      </c>
      <c r="J9" s="24">
        <f t="shared" si="0"/>
        <v>0.20980782175888502</v>
      </c>
      <c r="K9">
        <f>COUNTIFS(Clubs!D:D,"*Dakahlia*")</f>
        <v>6</v>
      </c>
      <c r="L9">
        <f>COUNTIFS(Clubs!$D$2:$D$22,"*Gharbia*")</f>
        <v>1</v>
      </c>
      <c r="M9">
        <f>COUNTIFS(Clubs!$D$23:$D$40,"*Gharbia*")</f>
        <v>3</v>
      </c>
      <c r="N9">
        <f>COUNTIFS(Clubs!$D$41:$D$104,"*Gharbia*")</f>
        <v>1</v>
      </c>
      <c r="O9">
        <f>COUNTIFS(Clubs!$D$105:$D$121,"*Gharbia*")</f>
        <v>1</v>
      </c>
      <c r="P9">
        <f>COUNTIFS(Clubs!$D$122:$D$132,"*Gharbia*")</f>
        <v>0</v>
      </c>
      <c r="Q9">
        <f>SUMIF(Clubs!D:D,"*Gharbia*",Clubs!F:F)</f>
        <v>18</v>
      </c>
      <c r="R9" s="26">
        <f>(K9-AVERAGE(K$2:K$28))/_xlfn.STDEV.P(K$2:K$28)</f>
        <v>0.18009260002341212</v>
      </c>
      <c r="S9" s="26">
        <f>(L9-AVERAGE(L$2:L$28))/_xlfn.STDEV.P(L$2:L$28)</f>
        <v>0.11995202878081342</v>
      </c>
      <c r="T9" s="26">
        <f>(M9-AVERAGE(M$2:M$28))/_xlfn.STDEV.P(M$2:M$28)</f>
        <v>2.0207259421636903</v>
      </c>
      <c r="U9" s="26">
        <f>(N9-AVERAGE(N$2:N$28))/_xlfn.STDEV.P(N$2:N$28)</f>
        <v>-0.82610691927484692</v>
      </c>
      <c r="V9" s="26">
        <f>(O9-AVERAGE(O$2:O$28))/_xlfn.STDEV.P(O$2:O$28)</f>
        <v>0.17402492911639783</v>
      </c>
      <c r="W9" s="26">
        <f>(P9-AVERAGE(P$2:P$28))/_xlfn.STDEV.P(P$2:P$28)</f>
        <v>-0.41108930101356472</v>
      </c>
      <c r="X9" s="25">
        <f>SUM(R9*0.3)+(S9*0.3)+(T9*0.15)*(U9*0.07)*(V9*0.15)*(W9*0.03)</f>
        <v>9.0019031421406936E-2</v>
      </c>
      <c r="Y9" s="25">
        <f>SUM(X9-J9)</f>
        <v>-0.11978879033747808</v>
      </c>
    </row>
    <row r="10" spans="1:37" ht="12.75">
      <c r="A10" s="10" t="s">
        <v>114</v>
      </c>
      <c r="B10" s="13">
        <v>3830112</v>
      </c>
      <c r="C10" s="11">
        <v>3681</v>
      </c>
      <c r="D10" s="21">
        <f>SUM(B10/C10)</f>
        <v>1040.5085574572126</v>
      </c>
      <c r="E10" s="14">
        <v>33286</v>
      </c>
      <c r="F10" s="15">
        <v>9193</v>
      </c>
      <c r="G10" s="23">
        <f>(D10-AVERAGE(D$2:D$28))/_xlfn.STDEV.P(D$2:D$28)</f>
        <v>3.3828478220846905E-2</v>
      </c>
      <c r="H10" s="23">
        <f>(E10-AVERAGE(E$2:E$28))/_xlfn.STDEV.P(E$2:E$28)</f>
        <v>-0.25348227969631593</v>
      </c>
      <c r="I10" s="23">
        <f>(F10-AVERAGE(F$2:F$28))/_xlfn.STDEV.P(F$2:F$28)</f>
        <v>-0.49478939137606448</v>
      </c>
      <c r="J10" s="24">
        <f t="shared" si="0"/>
        <v>-0.23968118582509165</v>
      </c>
      <c r="K10">
        <f>COUNTIFS(Clubs!D:D,"*Kafr El Sheikh*")</f>
        <v>2</v>
      </c>
      <c r="L10">
        <f>COUNTIFS(Clubs!$D$2:$D$22,"*Kafr El Sheikh*")</f>
        <v>0</v>
      </c>
      <c r="M10">
        <f>COUNTIFS(Clubs!$D$23:$D$40,"*Kafr El Sheikh*")</f>
        <v>0</v>
      </c>
      <c r="N10">
        <f>COUNTIFS(Clubs!$D$41:$D$104,"*Kafr El Sheikh*")</f>
        <v>2</v>
      </c>
      <c r="O10">
        <f>COUNTIFS(Clubs!$D$105:$D$121,"*Kafr El Sheikh*")</f>
        <v>0</v>
      </c>
      <c r="P10">
        <f>COUNTIFS(Clubs!$D$122:$D$132,"*Kafr El Sheikh*")</f>
        <v>0</v>
      </c>
      <c r="Q10">
        <f>SUMIF(Clubs!D:D,"*Kafr El Sheikh*",Clubs!F:F)</f>
        <v>2</v>
      </c>
      <c r="R10" s="26">
        <f>(K10-AVERAGE(K$2:K$28))/_xlfn.STDEV.P(K$2:K$28)</f>
        <v>-0.44732678070331411</v>
      </c>
      <c r="S10" s="26">
        <f>(L10-AVERAGE(L$2:L$28))/_xlfn.STDEV.P(L$2:L$28)</f>
        <v>-0.41983210073284699</v>
      </c>
      <c r="T10" s="26">
        <f>(M10-AVERAGE(M$2:M$28))/_xlfn.STDEV.P(M$2:M$28)</f>
        <v>-0.57735026918962573</v>
      </c>
      <c r="U10" s="26">
        <f>(N10-AVERAGE(N$2:N$28))/_xlfn.STDEV.P(N$2:N$28)</f>
        <v>-0.22327214034455317</v>
      </c>
      <c r="V10" s="26">
        <f>(O10-AVERAGE(O$2:O$28))/_xlfn.STDEV.P(O$2:O$28)</f>
        <v>-0.29584237949787634</v>
      </c>
      <c r="W10" s="26">
        <f>(P10-AVERAGE(P$2:P$28))/_xlfn.STDEV.P(P$2:P$28)</f>
        <v>-0.41108930101356472</v>
      </c>
      <c r="X10" s="25">
        <f>SUM(R10*0.3)+(S10*0.3)+(T10*0.15)*(U10*0.07)*(V10*0.15)*(W10*0.03)</f>
        <v>-0.26014692367978753</v>
      </c>
      <c r="Y10" s="25">
        <f>SUM(X10-J10)</f>
        <v>-2.0465737854695881E-2</v>
      </c>
    </row>
    <row r="11" spans="1:37" ht="14.25">
      <c r="A11" s="16" t="s">
        <v>94</v>
      </c>
      <c r="B11" s="13">
        <v>4891134</v>
      </c>
      <c r="C11" s="11">
        <v>2315</v>
      </c>
      <c r="D11" s="21">
        <f>SUM(B11/C11)</f>
        <v>2112.8008639308855</v>
      </c>
      <c r="E11" s="14">
        <v>34656</v>
      </c>
      <c r="F11" s="15">
        <v>7526</v>
      </c>
      <c r="G11" s="23">
        <f>(D11-AVERAGE(D$2:D$28))/_xlfn.STDEV.P(D$2:D$28)</f>
        <v>0.91212532665153134</v>
      </c>
      <c r="H11" s="23">
        <f>(E11-AVERAGE(E$2:E$28))/_xlfn.STDEV.P(E$2:E$28)</f>
        <v>-0.23618287946169184</v>
      </c>
      <c r="I11" s="23">
        <f>(F11-AVERAGE(F$2:F$28))/_xlfn.STDEV.P(F$2:F$28)</f>
        <v>-0.56671595874857883</v>
      </c>
      <c r="J11" s="24">
        <f t="shared" si="0"/>
        <v>9.1496585862089752E-3</v>
      </c>
      <c r="K11">
        <f>COUNTIFS(Clubs!D:D,"*Menoufia*")</f>
        <v>2</v>
      </c>
      <c r="L11">
        <f>COUNTIFS(Clubs!$D$2:$D$22,"*Menoufia*")</f>
        <v>0</v>
      </c>
      <c r="M11">
        <f>COUNTIFS(Clubs!$D$23:$D$40,"*Menoufia*")</f>
        <v>0</v>
      </c>
      <c r="N11">
        <f>COUNTIFS(Clubs!$D$41:$D$104,"*Menoufia*")</f>
        <v>2</v>
      </c>
      <c r="O11">
        <f>COUNTIFS(Clubs!$D$105:$D$121,"*Menoufia*")</f>
        <v>0</v>
      </c>
      <c r="P11">
        <f>COUNTIFS(Clubs!$D$122:$D$132,"*Manoufia*")</f>
        <v>0</v>
      </c>
      <c r="Q11">
        <f>SUMIF(Clubs!D:D,"*Menoufia*",Clubs!F:F)</f>
        <v>2</v>
      </c>
      <c r="R11" s="26">
        <f>(K11-AVERAGE(K$2:K$28))/_xlfn.STDEV.P(K$2:K$28)</f>
        <v>-0.44732678070331411</v>
      </c>
      <c r="S11" s="26">
        <f>(L11-AVERAGE(L$2:L$28))/_xlfn.STDEV.P(L$2:L$28)</f>
        <v>-0.41983210073284699</v>
      </c>
      <c r="T11" s="26">
        <f>(M11-AVERAGE(M$2:M$28))/_xlfn.STDEV.P(M$2:M$28)</f>
        <v>-0.57735026918962573</v>
      </c>
      <c r="U11" s="26">
        <f>(N11-AVERAGE(N$2:N$28))/_xlfn.STDEV.P(N$2:N$28)</f>
        <v>-0.22327214034455317</v>
      </c>
      <c r="V11" s="26">
        <f>(O11-AVERAGE(O$2:O$28))/_xlfn.STDEV.P(O$2:O$28)</f>
        <v>-0.29584237949787634</v>
      </c>
      <c r="W11" s="26">
        <f>(P11-AVERAGE(P$2:P$28))/_xlfn.STDEV.P(P$2:P$28)</f>
        <v>-0.41108930101356472</v>
      </c>
      <c r="X11" s="25">
        <f>SUM(R11*0.3)+(S11*0.3)+(T11*0.15)*(U11*0.07)*(V11*0.15)*(W11*0.03)</f>
        <v>-0.26014692367978753</v>
      </c>
      <c r="Y11" s="25">
        <f>SUM(X11-J11)</f>
        <v>-0.26929658226599651</v>
      </c>
    </row>
    <row r="12" spans="1:37" ht="12.75">
      <c r="A12" s="10" t="s">
        <v>74</v>
      </c>
      <c r="B12" s="13">
        <v>6327362</v>
      </c>
      <c r="C12" s="11">
        <v>1335</v>
      </c>
      <c r="D12" s="21">
        <f>SUM(B12/C12)</f>
        <v>4739.597003745318</v>
      </c>
      <c r="E12" s="14">
        <v>74772</v>
      </c>
      <c r="F12" s="15">
        <v>12498</v>
      </c>
      <c r="G12" s="23">
        <f>(D12-AVERAGE(D$2:D$28))/_xlfn.STDEV.P(D$2:D$28)</f>
        <v>3.0636904895650154</v>
      </c>
      <c r="H12" s="23">
        <f>(E12-AVERAGE(E$2:E$28))/_xlfn.STDEV.P(E$2:E$28)</f>
        <v>0.27037386492676074</v>
      </c>
      <c r="I12" s="23">
        <f>(F12-AVERAGE(F$2:F$28))/_xlfn.STDEV.P(F$2:F$28)</f>
        <v>-0.35218752864891384</v>
      </c>
      <c r="J12" s="24">
        <f t="shared" si="0"/>
        <v>0.92160043424553473</v>
      </c>
      <c r="K12">
        <f>COUNTIFS(Clubs!D:D,"*Qalyubia*")</f>
        <v>4</v>
      </c>
      <c r="L12">
        <f>COUNTIFS(Clubs!$D$2:$D$22,"*Qalyubia*")</f>
        <v>0</v>
      </c>
      <c r="M12">
        <f>COUNTIFS(Clubs!$D$23:$D$40,"*Qalyubia*")</f>
        <v>0</v>
      </c>
      <c r="N12">
        <f>COUNTIFS(Clubs!$D$41:$D$104,"*Qalyubia*")</f>
        <v>4</v>
      </c>
      <c r="O12">
        <f>COUNTIFS(Clubs!$D$105:$D$121,"*Qalyubia*")</f>
        <v>0</v>
      </c>
      <c r="P12">
        <f>COUNTIFS(Clubs!$D$122:$D$132,"*Qalyubia*")</f>
        <v>0</v>
      </c>
      <c r="Q12">
        <f>SUMIF(Clubs!D:D,"*Qalyubia*",Clubs!F:F)</f>
        <v>4</v>
      </c>
      <c r="R12" s="26">
        <f>(K12-AVERAGE(K$2:K$28))/_xlfn.STDEV.P(K$2:K$28)</f>
        <v>-0.13361709033995101</v>
      </c>
      <c r="S12" s="26">
        <f>(L12-AVERAGE(L$2:L$28))/_xlfn.STDEV.P(L$2:L$28)</f>
        <v>-0.41983210073284699</v>
      </c>
      <c r="T12" s="26">
        <f>(M12-AVERAGE(M$2:M$28))/_xlfn.STDEV.P(M$2:M$28)</f>
        <v>-0.57735026918962573</v>
      </c>
      <c r="U12" s="26">
        <f>(N12-AVERAGE(N$2:N$28))/_xlfn.STDEV.P(N$2:N$28)</f>
        <v>0.98239741751603438</v>
      </c>
      <c r="V12" s="26">
        <f>(O12-AVERAGE(O$2:O$28))/_xlfn.STDEV.P(O$2:O$28)</f>
        <v>-0.29584237949787634</v>
      </c>
      <c r="W12" s="26">
        <f>(P12-AVERAGE(P$2:P$28))/_xlfn.STDEV.P(P$2:P$28)</f>
        <v>-0.41108930101356472</v>
      </c>
      <c r="X12" s="25">
        <f>SUM(R12*0.3)+(S12*0.3)+(T12*0.15)*(U12*0.07)*(V12*0.15)*(W12*0.03)</f>
        <v>-0.16603801662650672</v>
      </c>
      <c r="Y12" s="25">
        <f>SUM(X12-J12)</f>
        <v>-1.0876384508720414</v>
      </c>
    </row>
    <row r="13" spans="1:37" ht="12.75">
      <c r="A13" s="10" t="s">
        <v>86</v>
      </c>
      <c r="B13" s="13">
        <v>8181442</v>
      </c>
      <c r="C13" s="11">
        <v>4905</v>
      </c>
      <c r="D13" s="21">
        <f>SUM(B13/C13)</f>
        <v>1667.9800203873599</v>
      </c>
      <c r="E13" s="14">
        <v>66563</v>
      </c>
      <c r="F13" s="15">
        <v>8663</v>
      </c>
      <c r="G13" s="23">
        <f>(D13-AVERAGE(D$2:D$28))/_xlfn.STDEV.P(D$2:D$28)</f>
        <v>0.54777994933052998</v>
      </c>
      <c r="H13" s="23">
        <f>(E13-AVERAGE(E$2:E$28))/_xlfn.STDEV.P(E$2:E$28)</f>
        <v>0.16671636381287086</v>
      </c>
      <c r="I13" s="23">
        <f>(F13-AVERAGE(F$2:F$28))/_xlfn.STDEV.P(F$2:F$28)</f>
        <v>-0.51765746618556219</v>
      </c>
      <c r="J13" s="24">
        <f t="shared" si="0"/>
        <v>7.5723290468638668E-2</v>
      </c>
      <c r="K13">
        <f>COUNTIFS(Clubs!D:D,"*Sharkia*")</f>
        <v>1</v>
      </c>
      <c r="L13">
        <f>COUNTIFS(Clubs!$D$2:$D$22,"*Sharkia*")</f>
        <v>0</v>
      </c>
      <c r="M13">
        <f>COUNTIFS(Clubs!$D$23:$D$40,"*Sharkia*")</f>
        <v>0</v>
      </c>
      <c r="N13">
        <f>COUNTIFS(Clubs!$D$41:$D$104,"*Sharkia*")</f>
        <v>1</v>
      </c>
      <c r="O13">
        <f>COUNTIFS(Clubs!$D$105:$D$121,"*Sharkia*")</f>
        <v>0</v>
      </c>
      <c r="P13">
        <f>COUNTIFS(Clubs!$D$122:$D$132,"*Sharkia*")</f>
        <v>0</v>
      </c>
      <c r="Q13">
        <f>SUMIF(Clubs!D:D,"*Sharkia*",Clubs!F:F)</f>
        <v>1</v>
      </c>
      <c r="R13" s="26">
        <f>(K13-AVERAGE(K$2:K$28))/_xlfn.STDEV.P(K$2:K$28)</f>
        <v>-0.60418162588499569</v>
      </c>
      <c r="S13" s="26">
        <f>(L13-AVERAGE(L$2:L$28))/_xlfn.STDEV.P(L$2:L$28)</f>
        <v>-0.41983210073284699</v>
      </c>
      <c r="T13" s="26">
        <f>(M13-AVERAGE(M$2:M$28))/_xlfn.STDEV.P(M$2:M$28)</f>
        <v>-0.57735026918962573</v>
      </c>
      <c r="U13" s="26">
        <f>(N13-AVERAGE(N$2:N$28))/_xlfn.STDEV.P(N$2:N$28)</f>
        <v>-0.82610691927484692</v>
      </c>
      <c r="V13" s="26">
        <f>(O13-AVERAGE(O$2:O$28))/_xlfn.STDEV.P(O$2:O$28)</f>
        <v>-0.29584237949787634</v>
      </c>
      <c r="W13" s="26">
        <f>(P13-AVERAGE(P$2:P$28))/_xlfn.STDEV.P(P$2:P$28)</f>
        <v>-0.41108930101356472</v>
      </c>
      <c r="X13" s="25">
        <f>SUM(R13*0.3)+(S13*0.3)+(T13*0.15)*(U13*0.07)*(V13*0.15)*(W13*0.03)</f>
        <v>-0.30720137720642798</v>
      </c>
      <c r="Y13" s="25">
        <f>SUM(X13-J13)</f>
        <v>-0.38292466767506667</v>
      </c>
    </row>
    <row r="14" spans="1:37" ht="12.75">
      <c r="A14" s="10" t="s">
        <v>54</v>
      </c>
      <c r="B14" s="13">
        <v>5329830</v>
      </c>
      <c r="C14" s="11">
        <v>16367</v>
      </c>
      <c r="D14" s="21">
        <f>SUM(B14/C14)</f>
        <v>325.64489521598335</v>
      </c>
      <c r="E14" s="14">
        <v>27797</v>
      </c>
      <c r="F14" s="15">
        <v>5734</v>
      </c>
      <c r="G14" s="23">
        <f>(D14-AVERAGE(D$2:D$28))/_xlfn.STDEV.P(D$2:D$28)</f>
        <v>-0.55170449428444845</v>
      </c>
      <c r="H14" s="23">
        <f>(E14-AVERAGE(E$2:E$28))/_xlfn.STDEV.P(E$2:E$28)</f>
        <v>-0.32279352632978425</v>
      </c>
      <c r="I14" s="23">
        <f>(F14-AVERAGE(F$2:F$28))/_xlfn.STDEV.P(F$2:F$28)</f>
        <v>-0.64403593999125786</v>
      </c>
      <c r="J14" s="24">
        <f t="shared" si="0"/>
        <v>-0.48783954081462555</v>
      </c>
      <c r="K14">
        <f>COUNTIFS(Clubs!D:D,"*Assiut*")</f>
        <v>5</v>
      </c>
      <c r="L14">
        <f>COUNTIFS(Clubs!$D$2:$D$22,"*Assiut*")</f>
        <v>0</v>
      </c>
      <c r="M14">
        <f>COUNTIFS(Clubs!$D$23:$D$40,"*Assiut*")</f>
        <v>2</v>
      </c>
      <c r="N14">
        <f>COUNTIFS(Clubs!$D$41:$D$104,"*Assiut*")</f>
        <v>2</v>
      </c>
      <c r="O14">
        <f>COUNTIFS(Clubs!$D$105:$D$121,"*Assiut*")</f>
        <v>0</v>
      </c>
      <c r="P14">
        <f>COUNTIFS(Clubs!$D$122:$D$132,"*Assiut*")</f>
        <v>1</v>
      </c>
      <c r="Q14">
        <f>SUMIF(Clubs!D:D,"*Assiut*",Clubs!F:F)</f>
        <v>10</v>
      </c>
      <c r="R14" s="26">
        <f>(K14-AVERAGE(K$2:K$28))/_xlfn.STDEV.P(K$2:K$28)</f>
        <v>2.3237754841730567E-2</v>
      </c>
      <c r="S14" s="26">
        <f>(L14-AVERAGE(L$2:L$28))/_xlfn.STDEV.P(L$2:L$28)</f>
        <v>-0.41983210073284699</v>
      </c>
      <c r="T14" s="26">
        <f>(M14-AVERAGE(M$2:M$28))/_xlfn.STDEV.P(M$2:M$28)</f>
        <v>1.1547005383792517</v>
      </c>
      <c r="U14" s="26">
        <f>(N14-AVERAGE(N$2:N$28))/_xlfn.STDEV.P(N$2:N$28)</f>
        <v>-0.22327214034455317</v>
      </c>
      <c r="V14" s="26">
        <f>(O14-AVERAGE(O$2:O$28))/_xlfn.STDEV.P(O$2:O$28)</f>
        <v>-0.29584237949787634</v>
      </c>
      <c r="W14" s="26">
        <f>(P14-AVERAGE(P$2:P$28))/_xlfn.STDEV.P(P$2:P$28)</f>
        <v>0.59794807420154861</v>
      </c>
      <c r="X14" s="25">
        <f>SUM(R14*0.3)+(S14*0.3)+(T14*0.15)*(U14*0.07)*(V14*0.15)*(W14*0.03)</f>
        <v>-0.11897614885515817</v>
      </c>
      <c r="Y14" s="25">
        <f>SUM(X14-J14)</f>
        <v>0.36886339195946738</v>
      </c>
    </row>
    <row r="15" spans="1:37" ht="12.75">
      <c r="A15" s="10" t="s">
        <v>56</v>
      </c>
      <c r="B15" s="13">
        <v>1728544</v>
      </c>
      <c r="C15" s="11">
        <v>63307</v>
      </c>
      <c r="D15" s="21">
        <f>SUM(B15/C15)</f>
        <v>27.304152779313505</v>
      </c>
      <c r="E15" s="14">
        <v>16806</v>
      </c>
      <c r="F15" s="15">
        <v>10502</v>
      </c>
      <c r="G15" s="23">
        <f>(D15-AVERAGE(D$2:D$28))/_xlfn.STDEV.P(D$2:D$28)</f>
        <v>-0.79607044959220585</v>
      </c>
      <c r="H15" s="23">
        <f>(E15-AVERAGE(E$2:E$28))/_xlfn.STDEV.P(E$2:E$28)</f>
        <v>-0.46158017448945826</v>
      </c>
      <c r="I15" s="23">
        <f>(F15-AVERAGE(F$2:F$28))/_xlfn.STDEV.P(F$2:F$28)</f>
        <v>-0.43830956132770132</v>
      </c>
      <c r="J15" s="24">
        <f t="shared" si="0"/>
        <v>-0.55494607307175547</v>
      </c>
      <c r="K15">
        <f>COUNTIFS(Clubs!D:D,"*Aswan*")</f>
        <v>3</v>
      </c>
      <c r="L15">
        <f>COUNTIFS(Clubs!$D$2:$D$22,"*Aswan*")</f>
        <v>0</v>
      </c>
      <c r="M15">
        <f>COUNTIFS(Clubs!$D$23:$D$40,"*Aswan*")</f>
        <v>1</v>
      </c>
      <c r="N15">
        <f>COUNTIFS(Clubs!$D$41:$D$104,"*Aswan*")</f>
        <v>2</v>
      </c>
      <c r="O15">
        <f>COUNTIFS(Clubs!$D$105:$D$121,"*Aswan*")</f>
        <v>0</v>
      </c>
      <c r="P15">
        <f>COUNTIFS(Clubs!$D$122:$D$132,"*Aswan*")</f>
        <v>0</v>
      </c>
      <c r="Q15">
        <f>SUMIF(Clubs!D:D,"*Aswan*",Clubs!F:F)</f>
        <v>5</v>
      </c>
      <c r="R15" s="26">
        <f>(K15-AVERAGE(K$2:K$28))/_xlfn.STDEV.P(K$2:K$28)</f>
        <v>-0.29047193552163253</v>
      </c>
      <c r="S15" s="26">
        <f>(L15-AVERAGE(L$2:L$28))/_xlfn.STDEV.P(L$2:L$28)</f>
        <v>-0.41983210073284699</v>
      </c>
      <c r="T15" s="26">
        <f>(M15-AVERAGE(M$2:M$28))/_xlfn.STDEV.P(M$2:M$28)</f>
        <v>0.28867513459481292</v>
      </c>
      <c r="U15" s="26">
        <f>(N15-AVERAGE(N$2:N$28))/_xlfn.STDEV.P(N$2:N$28)</f>
        <v>-0.22327214034455317</v>
      </c>
      <c r="V15" s="26">
        <f>(O15-AVERAGE(O$2:O$28))/_xlfn.STDEV.P(O$2:O$28)</f>
        <v>-0.29584237949787634</v>
      </c>
      <c r="W15" s="26">
        <f>(P15-AVERAGE(P$2:P$28))/_xlfn.STDEV.P(P$2:P$28)</f>
        <v>-0.41108930101356472</v>
      </c>
      <c r="X15" s="25">
        <f>SUM(R15*0.3)+(S15*0.3)+(T15*0.15)*(U15*0.07)*(V15*0.15)*(W15*0.03)</f>
        <v>-0.21309158125187425</v>
      </c>
      <c r="Y15" s="25">
        <f>SUM(X15-J15)</f>
        <v>0.34185449181988126</v>
      </c>
    </row>
    <row r="16" spans="1:37" ht="12.75">
      <c r="A16" s="10" t="s">
        <v>45</v>
      </c>
      <c r="B16" s="13">
        <v>3765659</v>
      </c>
      <c r="C16" s="11">
        <v>10209</v>
      </c>
      <c r="D16" s="21">
        <f>SUM(B16/C16)</f>
        <v>368.85679302576159</v>
      </c>
      <c r="E16" s="14">
        <v>19214</v>
      </c>
      <c r="F16" s="15">
        <v>5560</v>
      </c>
      <c r="G16" s="23">
        <f>(D16-AVERAGE(D$2:D$28))/_xlfn.STDEV.P(D$2:D$28)</f>
        <v>-0.51631034528990016</v>
      </c>
      <c r="H16" s="23">
        <f>(E16-AVERAGE(E$2:E$28))/_xlfn.STDEV.P(E$2:E$28)</f>
        <v>-0.43117363743473214</v>
      </c>
      <c r="I16" s="23">
        <f>(F16-AVERAGE(F$2:F$28))/_xlfn.STDEV.P(F$2:F$28)</f>
        <v>-0.65154357209852687</v>
      </c>
      <c r="J16" s="24">
        <f t="shared" si="0"/>
        <v>-0.52282563019042094</v>
      </c>
      <c r="K16">
        <f>COUNTIFS(Clubs!D:D,"*Beni Suef*")</f>
        <v>4</v>
      </c>
      <c r="L16">
        <f>COUNTIFS(Clubs!$D$2:$D$22,"*Beni Suef*")</f>
        <v>0</v>
      </c>
      <c r="M16">
        <f>COUNTIFS(Clubs!$D$23:$D$40,"*Beni Suef*")</f>
        <v>1</v>
      </c>
      <c r="N16">
        <f>COUNTIFS(Clubs!$D$41:$D$104,"*Beni Suef*")</f>
        <v>3</v>
      </c>
      <c r="O16">
        <f>COUNTIFS(Clubs!$D$105:$D$121,"*Beni Suef*")</f>
        <v>0</v>
      </c>
      <c r="P16">
        <f>COUNTIFS(Clubs!$D$122:$D$132,"*Beni Suef*")</f>
        <v>0</v>
      </c>
      <c r="Q16">
        <f>SUMIF(Clubs!D:D,"*Beni Suef*",Clubs!F:F)</f>
        <v>6</v>
      </c>
      <c r="R16" s="26">
        <f>(K16-AVERAGE(K$2:K$28))/_xlfn.STDEV.P(K$2:K$28)</f>
        <v>-0.13361709033995101</v>
      </c>
      <c r="S16" s="26">
        <f>(L16-AVERAGE(L$2:L$28))/_xlfn.STDEV.P(L$2:L$28)</f>
        <v>-0.41983210073284699</v>
      </c>
      <c r="T16" s="26">
        <f>(M16-AVERAGE(M$2:M$28))/_xlfn.STDEV.P(M$2:M$28)</f>
        <v>0.28867513459481292</v>
      </c>
      <c r="U16" s="26">
        <f>(N16-AVERAGE(N$2:N$28))/_xlfn.STDEV.P(N$2:N$28)</f>
        <v>0.37956263858574063</v>
      </c>
      <c r="V16" s="26">
        <f>(O16-AVERAGE(O$2:O$28))/_xlfn.STDEV.P(O$2:O$28)</f>
        <v>-0.29584237949787634</v>
      </c>
      <c r="W16" s="26">
        <f>(P16-AVERAGE(P$2:P$28))/_xlfn.STDEV.P(P$2:P$28)</f>
        <v>-0.41108930101356472</v>
      </c>
      <c r="X16" s="25">
        <f>SUM(R16*0.3)+(S16*0.3)+(T16*0.15)*(U16*0.07)*(V16*0.15)*(W16*0.03)</f>
        <v>-0.16603412768343775</v>
      </c>
      <c r="Y16" s="25">
        <f>SUM(X16-J16)</f>
        <v>0.35679150250698322</v>
      </c>
    </row>
    <row r="17" spans="1:25" ht="12.75">
      <c r="A17" s="10" t="s">
        <v>142</v>
      </c>
      <c r="B17" s="13">
        <v>4273665</v>
      </c>
      <c r="C17" s="11">
        <v>5249</v>
      </c>
      <c r="D17" s="21">
        <f>SUM(B17/C17)</f>
        <v>814.18651171651743</v>
      </c>
      <c r="E17" s="14">
        <v>29419</v>
      </c>
      <c r="F17" s="15">
        <v>7490</v>
      </c>
      <c r="G17" s="23">
        <f>(D17-AVERAGE(D$2:D$28))/_xlfn.STDEV.P(D$2:D$28)</f>
        <v>-0.15154815677351993</v>
      </c>
      <c r="H17" s="23">
        <f>(E17-AVERAGE(E$2:E$28))/_xlfn.STDEV.P(E$2:E$28)</f>
        <v>-0.30231204663594463</v>
      </c>
      <c r="I17" s="23">
        <f>(F17-AVERAGE(F$2:F$28))/_xlfn.STDEV.P(F$2:F$28)</f>
        <v>-0.56826926194318628</v>
      </c>
      <c r="J17" s="24">
        <f t="shared" si="0"/>
        <v>-0.33687004426938971</v>
      </c>
      <c r="K17">
        <f>COUNTIFS(Clubs!D:D,"*Fayoum*")</f>
        <v>3</v>
      </c>
      <c r="L17">
        <f>COUNTIFS(Clubs!$D$2:$D$22,"*Fayoum*")</f>
        <v>0</v>
      </c>
      <c r="M17">
        <f>COUNTIFS(Clubs!$D$23:$D$40,"*Fayoum*")</f>
        <v>0</v>
      </c>
      <c r="N17">
        <f>COUNTIFS(Clubs!$D$41:$D$104,"*Fayoum*")</f>
        <v>3</v>
      </c>
      <c r="O17">
        <f>COUNTIFS(Clubs!$D$105:$D$121,"*Fayoum*")</f>
        <v>0</v>
      </c>
      <c r="P17">
        <f>COUNTIFS(Clubs!$D$122:$D$132,"*Fayoum*")</f>
        <v>0</v>
      </c>
      <c r="Q17">
        <f>SUMIF(Clubs!D:D,"*Fayoum*",Clubs!F:F)</f>
        <v>3</v>
      </c>
      <c r="R17" s="26">
        <f>(K17-AVERAGE(K$2:K$28))/_xlfn.STDEV.P(K$2:K$28)</f>
        <v>-0.29047193552163253</v>
      </c>
      <c r="S17" s="26">
        <f>(L17-AVERAGE(L$2:L$28))/_xlfn.STDEV.P(L$2:L$28)</f>
        <v>-0.41983210073284699</v>
      </c>
      <c r="T17" s="26">
        <f>(M17-AVERAGE(M$2:M$28))/_xlfn.STDEV.P(M$2:M$28)</f>
        <v>-0.57735026918962573</v>
      </c>
      <c r="U17" s="26">
        <f>(N17-AVERAGE(N$2:N$28))/_xlfn.STDEV.P(N$2:N$28)</f>
        <v>0.37956263858574063</v>
      </c>
      <c r="V17" s="26">
        <f>(O17-AVERAGE(O$2:O$28))/_xlfn.STDEV.P(O$2:O$28)</f>
        <v>-0.29584237949787634</v>
      </c>
      <c r="W17" s="26">
        <f>(P17-AVERAGE(P$2:P$28))/_xlfn.STDEV.P(P$2:P$28)</f>
        <v>-0.41108930101356472</v>
      </c>
      <c r="X17" s="25">
        <f>SUM(R17*0.3)+(S17*0.3)+(T17*0.15)*(U17*0.07)*(V17*0.15)*(W17*0.03)</f>
        <v>-0.21309247015314714</v>
      </c>
      <c r="Y17" s="25">
        <f>SUM(X17-J17)</f>
        <v>0.12377757411624257</v>
      </c>
    </row>
    <row r="18" spans="1:25" ht="12.75">
      <c r="A18" s="10" t="s">
        <v>23</v>
      </c>
      <c r="B18" s="13">
        <v>9832026</v>
      </c>
      <c r="C18" s="11">
        <v>37681</v>
      </c>
      <c r="D18" s="21">
        <f>SUM(B18/C18)</f>
        <v>260.92794777208672</v>
      </c>
      <c r="E18" s="14">
        <v>169694</v>
      </c>
      <c r="F18" s="15">
        <v>18347</v>
      </c>
      <c r="G18" s="23">
        <f>(D18-AVERAGE(D$2:D$28))/_xlfn.STDEV.P(D$2:D$28)</f>
        <v>-0.60471307285660514</v>
      </c>
      <c r="H18" s="23">
        <f>(E18-AVERAGE(E$2:E$28))/_xlfn.STDEV.P(E$2:E$28)</f>
        <v>1.4689823824968249</v>
      </c>
      <c r="I18" s="23">
        <f>(F18-AVERAGE(F$2:F$28))/_xlfn.STDEV.P(F$2:F$28)</f>
        <v>-9.9818906836174295E-2</v>
      </c>
      <c r="J18" s="24">
        <f t="shared" si="0"/>
        <v>0.37623335909089606</v>
      </c>
      <c r="K18">
        <f>COUNTIFS(Clubs!D:D,"*Giza*")</f>
        <v>16</v>
      </c>
      <c r="L18">
        <f>COUNTIFS(Clubs!$D$2:$D$22,"*Giza*")</f>
        <v>2</v>
      </c>
      <c r="M18">
        <f>COUNTIFS(Clubs!$D$23:$D$40,"*Giza*")</f>
        <v>1</v>
      </c>
      <c r="N18">
        <f>COUNTIFS(Clubs!$D$41:$D$104,"*Giza*")</f>
        <v>6</v>
      </c>
      <c r="O18">
        <f>COUNTIFS(Clubs!$D$105:$D$121,"*Giza*")</f>
        <v>3</v>
      </c>
      <c r="P18">
        <f>COUNTIFS(Clubs!$D$122:$D$132,"*Giz*")</f>
        <v>4</v>
      </c>
      <c r="Q18">
        <f>SUMIF(Clubs!D:D,"*Giza*",Clubs!F:F)</f>
        <v>36</v>
      </c>
      <c r="R18" s="26">
        <f>(K18-AVERAGE(K$2:K$28))/_xlfn.STDEV.P(K$2:K$28)</f>
        <v>1.7486410518402278</v>
      </c>
      <c r="S18" s="26">
        <f>(L18-AVERAGE(L$2:L$28))/_xlfn.STDEV.P(L$2:L$28)</f>
        <v>0.65973615829447396</v>
      </c>
      <c r="T18" s="26">
        <f>(M18-AVERAGE(M$2:M$28))/_xlfn.STDEV.P(M$2:M$28)</f>
        <v>0.28867513459481292</v>
      </c>
      <c r="U18" s="26">
        <f>(N18-AVERAGE(N$2:N$28))/_xlfn.STDEV.P(N$2:N$28)</f>
        <v>2.1880669753766218</v>
      </c>
      <c r="V18" s="26">
        <f>(O18-AVERAGE(O$2:O$28))/_xlfn.STDEV.P(O$2:O$28)</f>
        <v>1.1137595463449461</v>
      </c>
      <c r="W18" s="26">
        <f>(P18-AVERAGE(P$2:P$28))/_xlfn.STDEV.P(P$2:P$28)</f>
        <v>3.6250601998468888</v>
      </c>
      <c r="X18" s="25">
        <f>SUM(R18*0.3)+(S18*0.3)+(T18*0.15)*(U18*0.07)*(V18*0.15)*(W18*0.03)</f>
        <v>0.7226336606589524</v>
      </c>
      <c r="Y18" s="25">
        <f>SUM(X18-J18)</f>
        <v>0.34640030156805635</v>
      </c>
    </row>
    <row r="19" spans="1:25" ht="12.75">
      <c r="A19" s="10" t="s">
        <v>132</v>
      </c>
      <c r="B19" s="13">
        <v>1466541</v>
      </c>
      <c r="C19" s="11">
        <v>5428</v>
      </c>
      <c r="D19" s="21">
        <f>SUM(B19/C19)</f>
        <v>270.18072955047899</v>
      </c>
      <c r="E19" s="14">
        <v>10276</v>
      </c>
      <c r="F19" s="15">
        <v>7596</v>
      </c>
      <c r="G19" s="23">
        <f>(D19-AVERAGE(D$2:D$28))/_xlfn.STDEV.P(D$2:D$28)</f>
        <v>-0.59713427272336139</v>
      </c>
      <c r="H19" s="23">
        <f>(E19-AVERAGE(E$2:E$28))/_xlfn.STDEV.P(E$2:E$28)</f>
        <v>-0.54403643984135264</v>
      </c>
      <c r="I19" s="23">
        <f>(F19-AVERAGE(F$2:F$28))/_xlfn.STDEV.P(F$2:F$28)</f>
        <v>-0.56369564698128671</v>
      </c>
      <c r="J19" s="24">
        <f t="shared" si="0"/>
        <v>-0.56586355184793558</v>
      </c>
      <c r="K19">
        <f>COUNTIFS(Clubs!D:D,"*Luxor*")</f>
        <v>2</v>
      </c>
      <c r="L19">
        <f>COUNTIFS(Clubs!$D$2:$D$22,"*Luxor*")</f>
        <v>0</v>
      </c>
      <c r="M19">
        <f>COUNTIFS(Clubs!$D$23:$D$40,"*Luxor*")</f>
        <v>0</v>
      </c>
      <c r="N19">
        <f>COUNTIFS(Clubs!$D$41:$D$104,"*Luxor*")</f>
        <v>2</v>
      </c>
      <c r="O19">
        <f>COUNTIFS(Clubs!$D$105:$D$121,"*Luxor*")</f>
        <v>0</v>
      </c>
      <c r="P19">
        <f>COUNTIFS(Clubs!$D$122:$D$132,"*Luxor*")</f>
        <v>0</v>
      </c>
      <c r="Q19">
        <f>SUMIF(Clubs!D:D,"*Luxor*",Clubs!F:F)</f>
        <v>2</v>
      </c>
      <c r="R19" s="26">
        <f>(K19-AVERAGE(K$2:K$28))/_xlfn.STDEV.P(K$2:K$28)</f>
        <v>-0.44732678070331411</v>
      </c>
      <c r="S19" s="26">
        <f>(L19-AVERAGE(L$2:L$28))/_xlfn.STDEV.P(L$2:L$28)</f>
        <v>-0.41983210073284699</v>
      </c>
      <c r="T19" s="26">
        <f>(M19-AVERAGE(M$2:M$28))/_xlfn.STDEV.P(M$2:M$28)</f>
        <v>-0.57735026918962573</v>
      </c>
      <c r="U19" s="26">
        <f>(N19-AVERAGE(N$2:N$28))/_xlfn.STDEV.P(N$2:N$28)</f>
        <v>-0.22327214034455317</v>
      </c>
      <c r="V19" s="26">
        <f>(O19-AVERAGE(O$2:O$28))/_xlfn.STDEV.P(O$2:O$28)</f>
        <v>-0.29584237949787634</v>
      </c>
      <c r="W19" s="26">
        <f>(P19-AVERAGE(P$2:P$28))/_xlfn.STDEV.P(P$2:P$28)</f>
        <v>-0.41108930101356472</v>
      </c>
      <c r="X19" s="25">
        <f>SUM(R19*0.3)+(S19*0.3)+(T19*0.15)*(U19*0.07)*(V19*0.15)*(W19*0.03)</f>
        <v>-0.26014692367978753</v>
      </c>
      <c r="Y19" s="25">
        <f>SUM(X19-J19)</f>
        <v>0.30571662816814804</v>
      </c>
    </row>
    <row r="20" spans="1:25" ht="12.75">
      <c r="A20" s="10" t="s">
        <v>146</v>
      </c>
      <c r="B20" s="13">
        <v>6648928</v>
      </c>
      <c r="C20" s="11">
        <v>27057</v>
      </c>
      <c r="D20" s="21">
        <f>SUM(B20/C20)</f>
        <v>245.7378127656429</v>
      </c>
      <c r="E20" s="14">
        <v>28862</v>
      </c>
      <c r="F20" s="15">
        <v>4749</v>
      </c>
      <c r="G20" s="23">
        <f>(D20-AVERAGE(D$2:D$28))/_xlfn.STDEV.P(D$2:D$28)</f>
        <v>-0.61715506057100988</v>
      </c>
      <c r="H20" s="23">
        <f>(E20-AVERAGE(E$2:E$28))/_xlfn.STDEV.P(E$2:E$28)</f>
        <v>-0.30934545242476624</v>
      </c>
      <c r="I20" s="23">
        <f>(F20-AVERAGE(F$2:F$28))/_xlfn.STDEV.P(F$2:F$28)</f>
        <v>-0.68653604128815449</v>
      </c>
      <c r="J20" s="24">
        <f t="shared" si="0"/>
        <v>-0.51484551152765579</v>
      </c>
      <c r="K20">
        <f>COUNTIFS(Clubs!D:D,"*Minya*")</f>
        <v>4</v>
      </c>
      <c r="L20">
        <f>COUNTIFS(Clubs!$D$2:$D$22,"*Minya*")</f>
        <v>0</v>
      </c>
      <c r="M20">
        <f>COUNTIFS(Clubs!$D$23:$D$40,"*Minya*")</f>
        <v>0</v>
      </c>
      <c r="N20">
        <f>COUNTIFS(Clubs!$D$41:$D$104,"*Minya*")</f>
        <v>2</v>
      </c>
      <c r="O20">
        <f>COUNTIFS(Clubs!$D$105:$D$121,"*Minya*")</f>
        <v>0</v>
      </c>
      <c r="P20">
        <f>COUNTIFS(Clubs!$D$122:$D$132,"*Miny*")</f>
        <v>2</v>
      </c>
      <c r="Q20">
        <f>SUMIF(Clubs!D:D,"*Minya*",Clubs!F:F)</f>
        <v>6</v>
      </c>
      <c r="R20" s="26">
        <f>(K20-AVERAGE(K$2:K$28))/_xlfn.STDEV.P(K$2:K$28)</f>
        <v>-0.13361709033995101</v>
      </c>
      <c r="S20" s="26">
        <f>(L20-AVERAGE(L$2:L$28))/_xlfn.STDEV.P(L$2:L$28)</f>
        <v>-0.41983210073284699</v>
      </c>
      <c r="T20" s="26">
        <f>(M20-AVERAGE(M$2:M$28))/_xlfn.STDEV.P(M$2:M$28)</f>
        <v>-0.57735026918962573</v>
      </c>
      <c r="U20" s="26">
        <f>(N20-AVERAGE(N$2:N$28))/_xlfn.STDEV.P(N$2:N$28)</f>
        <v>-0.22327214034455317</v>
      </c>
      <c r="V20" s="26">
        <f>(O20-AVERAGE(O$2:O$28))/_xlfn.STDEV.P(O$2:O$28)</f>
        <v>-0.29584237949787634</v>
      </c>
      <c r="W20" s="26">
        <f>(P20-AVERAGE(P$2:P$28))/_xlfn.STDEV.P(P$2:P$28)</f>
        <v>1.606985449416662</v>
      </c>
      <c r="X20" s="25">
        <f>SUM(R20*0.3)+(S20*0.3)+(T20*0.15)*(U20*0.07)*(V20*0.15)*(W20*0.03)</f>
        <v>-0.16603765298507689</v>
      </c>
      <c r="Y20" s="25">
        <f>SUM(X20-J20)</f>
        <v>0.3488078585425789</v>
      </c>
    </row>
    <row r="21" spans="1:25" ht="12.75">
      <c r="A21" s="10" t="s">
        <v>135</v>
      </c>
      <c r="B21" s="13">
        <v>3816168</v>
      </c>
      <c r="C21" s="11">
        <v>11033</v>
      </c>
      <c r="D21" s="21">
        <f>SUM(B21/C21)</f>
        <v>345.88670352578629</v>
      </c>
      <c r="E21" s="14">
        <v>17716</v>
      </c>
      <c r="F21" s="15">
        <v>5072</v>
      </c>
      <c r="G21" s="23">
        <f>(D21-AVERAGE(D$2:D$28))/_xlfn.STDEV.P(D$2:D$28)</f>
        <v>-0.53512476472963755</v>
      </c>
      <c r="H21" s="23">
        <f>(E21-AVERAGE(E$2:E$28))/_xlfn.STDEV.P(E$2:E$28)</f>
        <v>-0.45008933199784668</v>
      </c>
      <c r="I21" s="23">
        <f>(F21-AVERAGE(F$2:F$28))/_xlfn.STDEV.P(F$2:F$28)</f>
        <v>-0.67259945984764924</v>
      </c>
      <c r="J21" s="24">
        <f t="shared" si="0"/>
        <v>-0.54235300017232468</v>
      </c>
      <c r="K21">
        <f>COUNTIFS(Clubs!D:D,"*Qena*")</f>
        <v>4</v>
      </c>
      <c r="L21">
        <f>COUNTIFS(Clubs!$D$2:$D$22,"*Qena*")</f>
        <v>0</v>
      </c>
      <c r="M21">
        <f>COUNTIFS(Clubs!$D$23:$D$40,"*Qena*")</f>
        <v>0</v>
      </c>
      <c r="N21">
        <f>COUNTIFS(Clubs!$D$41:$D$104,"*Qena*")</f>
        <v>4</v>
      </c>
      <c r="O21">
        <f>COUNTIFS(Clubs!$D$105:$D$121,"*Qena*")</f>
        <v>0</v>
      </c>
      <c r="P21">
        <f>COUNTIFS(Clubs!$D$122:$D$132,"*Qena*")</f>
        <v>0</v>
      </c>
      <c r="Q21">
        <f>SUMIF(Clubs!D:D,"*Qena*",Clubs!F:F)</f>
        <v>4</v>
      </c>
      <c r="R21" s="26">
        <f>(K21-AVERAGE(K$2:K$28))/_xlfn.STDEV.P(K$2:K$28)</f>
        <v>-0.13361709033995101</v>
      </c>
      <c r="S21" s="26">
        <f>(L21-AVERAGE(L$2:L$28))/_xlfn.STDEV.P(L$2:L$28)</f>
        <v>-0.41983210073284699</v>
      </c>
      <c r="T21" s="26">
        <f>(M21-AVERAGE(M$2:M$28))/_xlfn.STDEV.P(M$2:M$28)</f>
        <v>-0.57735026918962573</v>
      </c>
      <c r="U21" s="26">
        <f>(N21-AVERAGE(N$2:N$28))/_xlfn.STDEV.P(N$2:N$28)</f>
        <v>0.98239741751603438</v>
      </c>
      <c r="V21" s="26">
        <f>(O21-AVERAGE(O$2:O$28))/_xlfn.STDEV.P(O$2:O$28)</f>
        <v>-0.29584237949787634</v>
      </c>
      <c r="W21" s="26">
        <f>(P21-AVERAGE(P$2:P$28))/_xlfn.STDEV.P(P$2:P$28)</f>
        <v>-0.41108930101356472</v>
      </c>
      <c r="X21" s="25">
        <f>SUM(R21*0.3)+(S21*0.3)+(T21*0.15)*(U21*0.07)*(V21*0.15)*(W21*0.03)</f>
        <v>-0.16603801662650672</v>
      </c>
      <c r="Y21" s="25">
        <f>SUM(X21-J21)</f>
        <v>0.37631498354581794</v>
      </c>
    </row>
    <row r="22" spans="1:25" ht="12.75">
      <c r="A22" s="10" t="s">
        <v>129</v>
      </c>
      <c r="B22" s="13">
        <v>6037081</v>
      </c>
      <c r="C22" s="11">
        <v>10400</v>
      </c>
      <c r="D22" s="21">
        <f>SUM(B22/C22)</f>
        <v>580.48855769230772</v>
      </c>
      <c r="E22" s="14">
        <v>23745</v>
      </c>
      <c r="F22" s="15">
        <v>4328</v>
      </c>
      <c r="G22" s="23">
        <f>(D22-AVERAGE(D$2:D$28))/_xlfn.STDEV.P(D$2:D$28)</f>
        <v>-0.34296627594213103</v>
      </c>
      <c r="H22" s="23">
        <f>(E22-AVERAGE(E$2:E$28))/_xlfn.STDEV.P(E$2:E$28)</f>
        <v>-0.37395934366605932</v>
      </c>
      <c r="I22" s="23">
        <f>(F22-AVERAGE(F$2:F$28))/_xlfn.STDEV.P(F$2:F$28)</f>
        <v>-0.70470105920286863</v>
      </c>
      <c r="J22" s="24">
        <f t="shared" si="0"/>
        <v>-0.46388393800992367</v>
      </c>
      <c r="K22">
        <f>COUNTIFS(Clubs!D:D,"*Sohag*")</f>
        <v>2</v>
      </c>
      <c r="L22">
        <f>COUNTIFS(Clubs!$D$2:$D$22,"*Sohag*")</f>
        <v>0</v>
      </c>
      <c r="M22">
        <f>COUNTIFS(Clubs!$D$23:$D$40,"*Sohag*")</f>
        <v>0</v>
      </c>
      <c r="N22">
        <f>COUNTIFS(Clubs!$D$41:$D$104,"*Sohag*")</f>
        <v>2</v>
      </c>
      <c r="O22">
        <f>COUNTIFS(Clubs!$D$105:$D$121,"*Sohag*")</f>
        <v>0</v>
      </c>
      <c r="P22">
        <f>COUNTIFS(Clubs!$D$122:$D$132,"*Sohag*")</f>
        <v>0</v>
      </c>
      <c r="Q22">
        <f>SUMIF(Clubs!D:D,"*Sohag*",Clubs!F:F)</f>
        <v>2</v>
      </c>
      <c r="R22" s="26">
        <f>(K22-AVERAGE(K$2:K$28))/_xlfn.STDEV.P(K$2:K$28)</f>
        <v>-0.44732678070331411</v>
      </c>
      <c r="S22" s="26">
        <f>(L22-AVERAGE(L$2:L$28))/_xlfn.STDEV.P(L$2:L$28)</f>
        <v>-0.41983210073284699</v>
      </c>
      <c r="T22" s="26">
        <f>(M22-AVERAGE(M$2:M$28))/_xlfn.STDEV.P(M$2:M$28)</f>
        <v>-0.57735026918962573</v>
      </c>
      <c r="U22" s="26">
        <f>(N22-AVERAGE(N$2:N$28))/_xlfn.STDEV.P(N$2:N$28)</f>
        <v>-0.22327214034455317</v>
      </c>
      <c r="V22" s="26">
        <f>(O22-AVERAGE(O$2:O$28))/_xlfn.STDEV.P(O$2:O$28)</f>
        <v>-0.29584237949787634</v>
      </c>
      <c r="W22" s="26">
        <f>(P22-AVERAGE(P$2:P$28))/_xlfn.STDEV.P(P$2:P$28)</f>
        <v>-0.41108930101356472</v>
      </c>
      <c r="X22" s="25">
        <f>SUM(R22*0.3)+(S22*0.3)+(T22*0.15)*(U22*0.07)*(V22*0.15)*(W22*0.03)</f>
        <v>-0.26014692367978753</v>
      </c>
      <c r="Y22" s="25">
        <f>SUM(X22-J22)</f>
        <v>0.20373701433013613</v>
      </c>
    </row>
    <row r="23" spans="1:25" ht="12.75">
      <c r="A23" s="10" t="s">
        <v>203</v>
      </c>
      <c r="B23" s="13">
        <v>599616</v>
      </c>
      <c r="C23" s="11">
        <v>160252</v>
      </c>
      <c r="D23" s="21">
        <f>SUM(B23/C23)</f>
        <v>3.74170681177146</v>
      </c>
      <c r="E23" s="14">
        <v>25463</v>
      </c>
      <c r="F23" s="15">
        <v>49777</v>
      </c>
      <c r="G23" s="23">
        <f>(D23-AVERAGE(D$2:D$28))/_xlfn.STDEV.P(D$2:D$28)</f>
        <v>-0.81537005839259658</v>
      </c>
      <c r="H23" s="23">
        <f>(E23-AVERAGE(E$2:E$28))/_xlfn.STDEV.P(E$2:E$28)</f>
        <v>-0.35226564322585185</v>
      </c>
      <c r="I23" s="23">
        <f>(F23-AVERAGE(F$2:F$28))/_xlfn.STDEV.P(F$2:F$28)</f>
        <v>1.2563010766779996</v>
      </c>
      <c r="J23" s="24">
        <f t="shared" si="0"/>
        <v>-8.6269518047198679E-3</v>
      </c>
      <c r="K23">
        <f>COUNTIFS(Clubs!D:D,"*Matrouh*")</f>
        <v>3</v>
      </c>
      <c r="L23">
        <f>COUNTIFS(Clubs!$D$2:$D$22,"*Matrouh*")</f>
        <v>0</v>
      </c>
      <c r="M23">
        <f>COUNTIFS(Clubs!$D$23:$D$40,"*Matrouh*")</f>
        <v>0</v>
      </c>
      <c r="N23">
        <f>COUNTIFS(Clubs!$D$41:$D$104,"*Matrouh*")</f>
        <v>3</v>
      </c>
      <c r="O23">
        <f>COUNTIFS(Clubs!$D$105:$D$121,"*Matrouh*")</f>
        <v>0</v>
      </c>
      <c r="P23">
        <f>COUNTIFS(Clubs!$D$122:$D$132,"*Matrouh*")</f>
        <v>0</v>
      </c>
      <c r="Q23">
        <f>SUMIF(Clubs!D:D,"*Matrouh*",Clubs!F:F)</f>
        <v>3</v>
      </c>
      <c r="R23" s="26">
        <f>(K23-AVERAGE(K$2:K$28))/_xlfn.STDEV.P(K$2:K$28)</f>
        <v>-0.29047193552163253</v>
      </c>
      <c r="S23" s="26">
        <f>(L23-AVERAGE(L$2:L$28))/_xlfn.STDEV.P(L$2:L$28)</f>
        <v>-0.41983210073284699</v>
      </c>
      <c r="T23" s="26">
        <f>(M23-AVERAGE(M$2:M$28))/_xlfn.STDEV.P(M$2:M$28)</f>
        <v>-0.57735026918962573</v>
      </c>
      <c r="U23" s="26">
        <f>(N23-AVERAGE(N$2:N$28))/_xlfn.STDEV.P(N$2:N$28)</f>
        <v>0.37956263858574063</v>
      </c>
      <c r="V23" s="26">
        <f>(O23-AVERAGE(O$2:O$28))/_xlfn.STDEV.P(O$2:O$28)</f>
        <v>-0.29584237949787634</v>
      </c>
      <c r="W23" s="26">
        <f>(P23-AVERAGE(P$2:P$28))/_xlfn.STDEV.P(P$2:P$28)</f>
        <v>-0.41108930101356472</v>
      </c>
      <c r="X23" s="25">
        <f>SUM(R23*0.3)+(S23*0.3)+(T23*0.15)*(U23*0.07)*(V23*0.15)*(W23*0.03)</f>
        <v>-0.21309247015314714</v>
      </c>
      <c r="Y23" s="25">
        <f>SUM(X23-J23)</f>
        <v>-0.20446551834842727</v>
      </c>
    </row>
    <row r="24" spans="1:25" ht="12.75">
      <c r="A24" s="10" t="s">
        <v>204</v>
      </c>
      <c r="B24" s="13">
        <v>276546</v>
      </c>
      <c r="C24" s="11">
        <v>429151</v>
      </c>
      <c r="D24" s="21">
        <f>SUM(B24/C24)</f>
        <v>0.64440255294756388</v>
      </c>
      <c r="E24" s="14">
        <v>3738</v>
      </c>
      <c r="F24" s="15">
        <v>14423</v>
      </c>
      <c r="G24" s="23">
        <f>(D24-AVERAGE(D$2:D$28))/_xlfn.STDEV.P(D$2:D$28)</f>
        <v>-0.81790700895424151</v>
      </c>
      <c r="H24" s="23">
        <f>(E24-AVERAGE(E$2:E$28))/_xlfn.STDEV.P(E$2:E$28)</f>
        <v>-0.62659372358877774</v>
      </c>
      <c r="I24" s="23">
        <f>(F24-AVERAGE(F$2:F$28))/_xlfn.STDEV.P(F$2:F$28)</f>
        <v>-0.2691289550483798</v>
      </c>
      <c r="J24" s="24">
        <f t="shared" si="0"/>
        <v>-0.57674827863629752</v>
      </c>
      <c r="K24">
        <f>COUNTIFS(Clubs!D:D,"*New Valley*")</f>
        <v>0</v>
      </c>
      <c r="L24">
        <f>COUNTIFS(Clubs!$D$2:$D$22,"*New Valley*")</f>
        <v>0</v>
      </c>
      <c r="M24">
        <f>COUNTIFS(Clubs!$D$23:$D$40,"*New Valley*")</f>
        <v>0</v>
      </c>
      <c r="N24">
        <f>COUNTIFS(Clubs!$D$41:$D$104,"*New Valley*")</f>
        <v>0</v>
      </c>
      <c r="O24">
        <f>COUNTIFS(Clubs!$D$105:$D$121,"*New Valley*")</f>
        <v>0</v>
      </c>
      <c r="P24">
        <f>COUNTIFS(Clubs!$D$122:$D$132,"*New Valley*")</f>
        <v>0</v>
      </c>
      <c r="Q24">
        <f>SUMIF(Clubs!D:D,"*New Valley*",Clubs!F:F)</f>
        <v>0</v>
      </c>
      <c r="R24" s="26">
        <f>(K24-AVERAGE(K$2:K$28))/_xlfn.STDEV.P(K$2:K$28)</f>
        <v>-0.76103647106667727</v>
      </c>
      <c r="S24" s="26">
        <f>(L24-AVERAGE(L$2:L$28))/_xlfn.STDEV.P(L$2:L$28)</f>
        <v>-0.41983210073284699</v>
      </c>
      <c r="T24" s="26">
        <f>(M24-AVERAGE(M$2:M$28))/_xlfn.STDEV.P(M$2:M$28)</f>
        <v>-0.57735026918962573</v>
      </c>
      <c r="U24" s="26">
        <f>(N24-AVERAGE(N$2:N$28))/_xlfn.STDEV.P(N$2:N$28)</f>
        <v>-1.4289416982051408</v>
      </c>
      <c r="V24" s="26">
        <f>(O24-AVERAGE(O$2:O$28))/_xlfn.STDEV.P(O$2:O$28)</f>
        <v>-0.29584237949787634</v>
      </c>
      <c r="W24" s="26">
        <f>(P24-AVERAGE(P$2:P$28))/_xlfn.STDEV.P(P$2:P$28)</f>
        <v>-0.41108930101356472</v>
      </c>
      <c r="X24" s="25">
        <f>SUM(R24*0.3)+(S24*0.3)+(T24*0.15)*(U24*0.07)*(V24*0.15)*(W24*0.03)</f>
        <v>-0.35425583073306838</v>
      </c>
      <c r="Y24" s="25">
        <f>SUM(X24-J24)</f>
        <v>0.22249244790322914</v>
      </c>
    </row>
    <row r="25" spans="1:25" ht="12.75">
      <c r="A25" s="10" t="s">
        <v>205</v>
      </c>
      <c r="B25" s="13">
        <v>477904</v>
      </c>
      <c r="C25" s="11">
        <v>26120</v>
      </c>
      <c r="D25" s="21">
        <f>SUM(B25/C25)</f>
        <v>18.296477794793262</v>
      </c>
      <c r="E25" s="14">
        <v>10783</v>
      </c>
      <c r="F25" s="15">
        <v>21891</v>
      </c>
      <c r="G25" s="23">
        <f>(D25-AVERAGE(D$2:D$28))/_xlfn.STDEV.P(D$2:D$28)</f>
        <v>-0.8034484868147328</v>
      </c>
      <c r="H25" s="23">
        <f>(E25-AVERAGE(E$2:E$28))/_xlfn.STDEV.P(E$2:E$28)</f>
        <v>-0.53763439902459764</v>
      </c>
      <c r="I25" s="23">
        <f>(F25-AVERAGE(F$2:F$28))/_xlfn.STDEV.P(F$2:F$28)</f>
        <v>5.3095163210730961E-2</v>
      </c>
      <c r="J25" s="24">
        <f t="shared" si="0"/>
        <v>-0.44015975669103957</v>
      </c>
      <c r="K25">
        <f>COUNTIFS(Clubs!D:D,"*North Sinai*")</f>
        <v>1</v>
      </c>
      <c r="L25">
        <f>COUNTIFS(Clubs!$D$2:$D$22,"*North Sinai*")</f>
        <v>0</v>
      </c>
      <c r="M25">
        <f>COUNTIFS(Clubs!$D$23:$D$40,"*North Sinai*")</f>
        <v>0</v>
      </c>
      <c r="N25">
        <f>COUNTIFS(Clubs!$D$41:$D$104,"*North Sinai*")</f>
        <v>1</v>
      </c>
      <c r="O25">
        <f>COUNTIFS(Clubs!$D$105:$D$121,"*North Sinai*")</f>
        <v>0</v>
      </c>
      <c r="P25">
        <f>COUNTIFS(Clubs!$D$122:$D$132,"*North Sinai*")</f>
        <v>0</v>
      </c>
      <c r="Q25">
        <f>SUMIF(Clubs!D:D,"*North Sinai*",Clubs!F:F)</f>
        <v>1</v>
      </c>
      <c r="R25" s="26">
        <f>(K25-AVERAGE(K$2:K$28))/_xlfn.STDEV.P(K$2:K$28)</f>
        <v>-0.60418162588499569</v>
      </c>
      <c r="S25" s="26">
        <f>(L25-AVERAGE(L$2:L$28))/_xlfn.STDEV.P(L$2:L$28)</f>
        <v>-0.41983210073284699</v>
      </c>
      <c r="T25" s="26">
        <f>(M25-AVERAGE(M$2:M$28))/_xlfn.STDEV.P(M$2:M$28)</f>
        <v>-0.57735026918962573</v>
      </c>
      <c r="U25" s="26">
        <f>(N25-AVERAGE(N$2:N$28))/_xlfn.STDEV.P(N$2:N$28)</f>
        <v>-0.82610691927484692</v>
      </c>
      <c r="V25" s="26">
        <f>(O25-AVERAGE(O$2:O$28))/_xlfn.STDEV.P(O$2:O$28)</f>
        <v>-0.29584237949787634</v>
      </c>
      <c r="W25" s="26">
        <f>(P25-AVERAGE(P$2:P$28))/_xlfn.STDEV.P(P$2:P$28)</f>
        <v>-0.41108930101356472</v>
      </c>
      <c r="X25" s="25">
        <f>SUM(R25*0.3)+(S25*0.3)+(T25*0.15)*(U25*0.07)*(V25*0.15)*(W25*0.03)</f>
        <v>-0.30720137720642798</v>
      </c>
      <c r="Y25" s="25">
        <f>SUM(X25-J25)</f>
        <v>0.13295837948461159</v>
      </c>
    </row>
    <row r="26" spans="1:25" ht="12.75">
      <c r="A26" s="10" t="s">
        <v>206</v>
      </c>
      <c r="B26" s="13">
        <v>120043</v>
      </c>
      <c r="C26" s="11">
        <v>30948</v>
      </c>
      <c r="D26" s="21">
        <f>SUM(B26/C26)</f>
        <v>3.8788613157554606</v>
      </c>
      <c r="E26" s="14">
        <v>12866</v>
      </c>
      <c r="F26" s="15">
        <v>114190</v>
      </c>
      <c r="G26" s="23">
        <f>(D26-AVERAGE(D$2:D$28))/_xlfn.STDEV.P(D$2:D$28)</f>
        <v>-0.81525771741255781</v>
      </c>
      <c r="H26" s="23">
        <f>(E26-AVERAGE(E$2:E$28))/_xlfn.STDEV.P(E$2:E$28)</f>
        <v>-0.51133173428830425</v>
      </c>
      <c r="I26" s="23">
        <f>(F26-AVERAGE(F$2:F$28))/_xlfn.STDEV.P(F$2:F$28)</f>
        <v>4.0355488176292722</v>
      </c>
      <c r="J26" s="24">
        <f t="shared" si="0"/>
        <v>0.76155463634969256</v>
      </c>
      <c r="K26">
        <f>COUNTIFS(Clubs!D:D,"*South Sinai*")</f>
        <v>1</v>
      </c>
      <c r="L26">
        <f>COUNTIFS(Clubs!$D$2:$D$22,"*South Sinai*")</f>
        <v>0</v>
      </c>
      <c r="M26">
        <f>COUNTIFS(Clubs!$D$23:$D$40,"*South Sinai*")</f>
        <v>0</v>
      </c>
      <c r="N26">
        <f>COUNTIFS(Clubs!$D$41:$D$104,"*South Sinai*")</f>
        <v>1</v>
      </c>
      <c r="O26">
        <f>COUNTIFS(Clubs!$D$105:$D$121,"*South Sinai*")</f>
        <v>0</v>
      </c>
      <c r="P26">
        <f>COUNTIFS(Clubs!$D$122:$D$132,"*South Sinai*")</f>
        <v>0</v>
      </c>
      <c r="Q26">
        <f>SUMIF(Clubs!D:D,"*South Sinai*",Clubs!F:F)</f>
        <v>1</v>
      </c>
      <c r="R26" s="26">
        <f>(K26-AVERAGE(K$2:K$28))/_xlfn.STDEV.P(K$2:K$28)</f>
        <v>-0.60418162588499569</v>
      </c>
      <c r="S26" s="26">
        <f>(L26-AVERAGE(L$2:L$28))/_xlfn.STDEV.P(L$2:L$28)</f>
        <v>-0.41983210073284699</v>
      </c>
      <c r="T26" s="26">
        <f>(M26-AVERAGE(M$2:M$28))/_xlfn.STDEV.P(M$2:M$28)</f>
        <v>-0.57735026918962573</v>
      </c>
      <c r="U26" s="26">
        <f>(N26-AVERAGE(N$2:N$28))/_xlfn.STDEV.P(N$2:N$28)</f>
        <v>-0.82610691927484692</v>
      </c>
      <c r="V26" s="26">
        <f>(O26-AVERAGE(O$2:O$28))/_xlfn.STDEV.P(O$2:O$28)</f>
        <v>-0.29584237949787634</v>
      </c>
      <c r="W26" s="26">
        <f>(P26-AVERAGE(P$2:P$28))/_xlfn.STDEV.P(P$2:P$28)</f>
        <v>-0.41108930101356472</v>
      </c>
      <c r="X26" s="25">
        <f>SUM(R26*0.3)+(S26*0.3)+(T26*0.15)*(U26*0.07)*(V26*0.15)*(W26*0.03)</f>
        <v>-0.30720137720642798</v>
      </c>
      <c r="Y26" s="25">
        <f>SUM(X26-J26)</f>
        <v>-1.0687560135561205</v>
      </c>
    </row>
    <row r="27" spans="1:25" ht="12.75">
      <c r="A27" s="10" t="s">
        <v>158</v>
      </c>
      <c r="B27" s="13">
        <v>419619</v>
      </c>
      <c r="C27" s="11">
        <v>120548</v>
      </c>
      <c r="D27" s="21">
        <f>SUM(B27/C27)</f>
        <v>3.4809287586687461</v>
      </c>
      <c r="E27" s="14">
        <v>16719</v>
      </c>
      <c r="F27" s="15">
        <v>42862</v>
      </c>
      <c r="G27" s="23">
        <f>(D27-AVERAGE(D$2:D$28))/_xlfn.STDEV.P(D$2:D$28)</f>
        <v>-0.81558365737190219</v>
      </c>
      <c r="H27" s="23">
        <f>(E27-AVERAGE(E$2:E$28))/_xlfn.STDEV.P(E$2:E$28)</f>
        <v>-0.46267874954085408</v>
      </c>
      <c r="I27" s="23">
        <f>(F27-AVERAGE(F$2:F$28))/_xlfn.STDEV.P(F$2:F$28)</f>
        <v>0.95793742138049687</v>
      </c>
      <c r="J27" s="24">
        <f t="shared" si="0"/>
        <v>-0.14236537061376325</v>
      </c>
      <c r="K27">
        <f>COUNTIFS(Clubs!D:D,"*Red Sea*")</f>
        <v>2</v>
      </c>
      <c r="L27">
        <f>COUNTIFS(Clubs!$D$2:$D$22,"*Red Sea*")</f>
        <v>1</v>
      </c>
      <c r="M27">
        <f>COUNTIFS(Clubs!$D$23:$D$40,"*Red Sea*")</f>
        <v>0</v>
      </c>
      <c r="N27">
        <f>COUNTIFS(Clubs!$D$41:$D$104,"*Red Sea*")</f>
        <v>0</v>
      </c>
      <c r="O27">
        <f>COUNTIFS(Clubs!$D$105:$D$121,"*Red Sea*")</f>
        <v>1</v>
      </c>
      <c r="P27">
        <f>COUNTIFS(Clubs!$D$122:$D$132,"*Red Sea*")</f>
        <v>0</v>
      </c>
      <c r="Q27">
        <f>SUMIF(Clubs!D:D,"*Red Sea*",Clubs!F:F)</f>
        <v>8</v>
      </c>
      <c r="R27" s="26">
        <f>(K27-AVERAGE(K$2:K$28))/_xlfn.STDEV.P(K$2:K$28)</f>
        <v>-0.44732678070331411</v>
      </c>
      <c r="S27" s="26">
        <f>(L27-AVERAGE(L$2:L$28))/_xlfn.STDEV.P(L$2:L$28)</f>
        <v>0.11995202878081342</v>
      </c>
      <c r="T27" s="26">
        <f>(M27-AVERAGE(M$2:M$28))/_xlfn.STDEV.P(M$2:M$28)</f>
        <v>-0.57735026918962573</v>
      </c>
      <c r="U27" s="26">
        <f>(N27-AVERAGE(N$2:N$28))/_xlfn.STDEV.P(N$2:N$28)</f>
        <v>-1.4289416982051408</v>
      </c>
      <c r="V27" s="26">
        <f>(O27-AVERAGE(O$2:O$28))/_xlfn.STDEV.P(O$2:O$28)</f>
        <v>0.17402492911639783</v>
      </c>
      <c r="W27" s="26">
        <f>(P27-AVERAGE(P$2:P$28))/_xlfn.STDEV.P(P$2:P$28)</f>
        <v>-0.41108930101356472</v>
      </c>
      <c r="X27" s="25">
        <f>SUM(R27*0.3)+(S27*0.3)+(T27*0.15)*(U27*0.07)*(V27*0.15)*(W27*0.03)</f>
        <v>-9.8215214286625982E-2</v>
      </c>
      <c r="Y27" s="25">
        <f>SUM(X27-J27)</f>
        <v>4.4150156327137272E-2</v>
      </c>
    </row>
    <row r="28" spans="1:25" ht="12.75">
      <c r="A28" s="10" t="s">
        <v>33</v>
      </c>
      <c r="B28" s="13">
        <v>1514708</v>
      </c>
      <c r="C28" s="11">
        <v>5375</v>
      </c>
      <c r="D28" s="21">
        <f>SUM(B28/C28)</f>
        <v>281.8061395348837</v>
      </c>
      <c r="E28" s="14">
        <v>20910</v>
      </c>
      <c r="F28" s="15">
        <v>14253</v>
      </c>
      <c r="G28" s="23">
        <f>(D28-AVERAGE(D$2:D$28))/_xlfn.STDEV.P(D$2:D$28)</f>
        <v>-0.58761209216739374</v>
      </c>
      <c r="H28" s="23">
        <f>(E28-AVERAGE(E$2:E$28))/_xlfn.STDEV.P(E$2:E$28)</f>
        <v>-0.40975773758223399</v>
      </c>
      <c r="I28" s="23">
        <f>(F28-AVERAGE(F$2:F$28))/_xlfn.STDEV.P(F$2:F$28)</f>
        <v>-0.27646399791180359</v>
      </c>
      <c r="J28" s="24">
        <f t="shared" si="0"/>
        <v>-0.42312592205665278</v>
      </c>
      <c r="K28">
        <f>COUNTIFS(Clubs!D:D,"*Ismailia*")</f>
        <v>4</v>
      </c>
      <c r="L28">
        <f>COUNTIFS(Clubs!$D$2:$D$22,"*Ismailia*")</f>
        <v>2</v>
      </c>
      <c r="M28">
        <f>COUNTIFS(Clubs!$D$23:$D$40,"*Ismailia*")</f>
        <v>1</v>
      </c>
      <c r="N28">
        <f>COUNTIFS(Clubs!$D$41:$D$104,"*Ismailia*")</f>
        <v>0</v>
      </c>
      <c r="O28">
        <f>COUNTIFS(Clubs!$D$105:$D$121,"*Ismail*")</f>
        <v>0</v>
      </c>
      <c r="P28">
        <f>COUNTIFS(Clubs!$D$122:$D$132,"*Ismailia*")</f>
        <v>1</v>
      </c>
      <c r="Q28">
        <f>SUMIF(Clubs!D2:D132,"*Ismailia*",Clubs!F2:F132)</f>
        <v>15</v>
      </c>
      <c r="R28" s="26">
        <f>(K28-AVERAGE(K$2:K$28))/_xlfn.STDEV.P(K$2:K$28)</f>
        <v>-0.13361709033995101</v>
      </c>
      <c r="S28" s="26">
        <f>(L28-AVERAGE(L$2:L$28))/_xlfn.STDEV.P(L$2:L$28)</f>
        <v>0.65973615829447396</v>
      </c>
      <c r="T28" s="26">
        <f>(M28-AVERAGE(M$2:M$28))/_xlfn.STDEV.P(M$2:M$28)</f>
        <v>0.28867513459481292</v>
      </c>
      <c r="U28" s="26">
        <f>(N28-AVERAGE(N$2:N$28))/_xlfn.STDEV.P(N$2:N$28)</f>
        <v>-1.4289416982051408</v>
      </c>
      <c r="V28" s="26">
        <f>(O28-AVERAGE(O$2:O$28))/_xlfn.STDEV.P(O$2:O$28)</f>
        <v>-0.29584237949787634</v>
      </c>
      <c r="W28" s="26">
        <f>(P28-AVERAGE(P$2:P$28))/_xlfn.STDEV.P(P$2:P$28)</f>
        <v>0.59794807420154861</v>
      </c>
      <c r="X28" s="25">
        <f>SUM(R28*0.3)+(S28*0.3)+(T28*0.15)*(U28*0.07)*(V28*0.15)*(W28*0.03)</f>
        <v>0.15783916824583966</v>
      </c>
      <c r="Y28" s="25">
        <f>SUM(X28-J28)</f>
        <v>0.58096509030249244</v>
      </c>
    </row>
    <row r="29" spans="1:25" s="19" customFormat="1" ht="15.75" customHeight="1">
      <c r="A29" s="19" t="s">
        <v>207</v>
      </c>
      <c r="B29" s="20">
        <f>SUM(B2:B28)</f>
        <v>108948531</v>
      </c>
      <c r="C29" s="19">
        <f>SUM(C2:C28)</f>
        <v>1004470</v>
      </c>
      <c r="E29" s="20">
        <f>SUM(E2:E28)</f>
        <v>1440724</v>
      </c>
      <c r="F29" s="20">
        <f>SUM(F2:F28)</f>
        <v>557832</v>
      </c>
      <c r="G29" s="20"/>
      <c r="H29" s="20"/>
      <c r="I29" s="20"/>
      <c r="J29" s="20"/>
      <c r="K29" s="19">
        <f>SUM(K2:K28)</f>
        <v>131</v>
      </c>
      <c r="L29" s="19">
        <f>SUM(L2:L28)</f>
        <v>21</v>
      </c>
      <c r="M29" s="19">
        <f>SUM(M2:M28)</f>
        <v>18</v>
      </c>
      <c r="N29" s="19">
        <f>SUM(N2:N28)</f>
        <v>64</v>
      </c>
      <c r="O29" s="19">
        <f>SUM(O2:O28)</f>
        <v>17</v>
      </c>
      <c r="P29" s="19">
        <f>SUM(P2:P28)</f>
        <v>11</v>
      </c>
      <c r="Q29" s="19">
        <f>SUM(Q2:Q28)</f>
        <v>296</v>
      </c>
    </row>
    <row r="32" spans="1:25" ht="15.75" customHeight="1">
      <c r="B32" s="22"/>
    </row>
  </sheetData>
  <sortState xmlns:xlrd2="http://schemas.microsoft.com/office/spreadsheetml/2017/richdata2" ref="Y2:Y1048576">
    <sortCondition descending="1" ref="Y2:Y1048576"/>
  </sortState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79"/>
  <sheetViews>
    <sheetView workbookViewId="0">
      <selection activeCell="G15" sqref="G15"/>
    </sheetView>
  </sheetViews>
  <sheetFormatPr defaultColWidth="12.5703125" defaultRowHeight="15.75" customHeight="1"/>
  <cols>
    <col min="1" max="1" width="12.5703125" style="27"/>
    <col min="5" max="5" width="21.28515625" customWidth="1"/>
  </cols>
  <sheetData>
    <row r="1" spans="1:13" ht="22.5">
      <c r="A1" s="41" t="s">
        <v>208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s="27" customFormat="1" ht="15.75" customHeigh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s="28" customFormat="1" ht="15.75" customHeight="1">
      <c r="A3" s="33" t="s">
        <v>209</v>
      </c>
      <c r="B3" s="33" t="s">
        <v>179</v>
      </c>
      <c r="C3" s="33" t="s">
        <v>178</v>
      </c>
      <c r="D3" s="33" t="s">
        <v>210</v>
      </c>
      <c r="E3" s="33" t="s">
        <v>211</v>
      </c>
      <c r="F3" s="34"/>
      <c r="G3" s="34"/>
      <c r="H3" s="34"/>
      <c r="I3" s="34"/>
      <c r="J3" s="34"/>
      <c r="K3" s="34"/>
      <c r="L3" s="34"/>
      <c r="M3" s="34"/>
    </row>
    <row r="4" spans="1:13" ht="15.75" customHeight="1">
      <c r="A4" s="35" t="s">
        <v>71</v>
      </c>
      <c r="B4" s="36">
        <f>SUM(398986+498899+718541)</f>
        <v>1616426</v>
      </c>
      <c r="C4" s="37" t="s">
        <v>23</v>
      </c>
      <c r="D4" s="29">
        <f>SUM(23.9+48)</f>
        <v>71.900000000000006</v>
      </c>
      <c r="E4" s="30">
        <f>SUM(B4/D4)</f>
        <v>22481.585535465922</v>
      </c>
      <c r="F4" s="29"/>
      <c r="G4" s="29"/>
      <c r="H4" s="29"/>
      <c r="I4" s="29"/>
      <c r="J4" s="29"/>
      <c r="K4" s="29"/>
      <c r="L4" s="29"/>
      <c r="M4" s="29"/>
    </row>
    <row r="5" spans="1:13" ht="29.25" customHeight="1">
      <c r="A5" s="35" t="s">
        <v>212</v>
      </c>
      <c r="B5" s="36">
        <f>SUM(535436+754953)</f>
        <v>1290389</v>
      </c>
      <c r="C5" s="37" t="s">
        <v>213</v>
      </c>
      <c r="D5" s="29">
        <v>30</v>
      </c>
      <c r="E5" s="30">
        <f>SUM(B5/D5)</f>
        <v>43012.966666666667</v>
      </c>
      <c r="F5" s="29"/>
      <c r="G5" s="31"/>
      <c r="H5" s="31"/>
      <c r="I5" s="31"/>
      <c r="J5" s="31"/>
      <c r="K5" s="31"/>
      <c r="L5" s="31"/>
      <c r="M5" s="31"/>
    </row>
    <row r="6" spans="1:13" ht="24">
      <c r="A6" s="35" t="s">
        <v>214</v>
      </c>
      <c r="B6" s="36">
        <v>1046390</v>
      </c>
      <c r="C6" s="37" t="s">
        <v>23</v>
      </c>
      <c r="D6" s="29">
        <v>13</v>
      </c>
      <c r="E6" s="30">
        <f>SUM(B6/D6)</f>
        <v>80491.538461538468</v>
      </c>
      <c r="F6" s="29"/>
      <c r="G6" s="31"/>
      <c r="H6" s="31"/>
      <c r="I6" s="31"/>
      <c r="J6" s="31"/>
      <c r="K6" s="31"/>
      <c r="L6" s="31"/>
      <c r="M6" s="31"/>
    </row>
    <row r="7" spans="1:13" ht="15.75" customHeight="1">
      <c r="A7" s="35" t="s">
        <v>215</v>
      </c>
      <c r="B7" s="36">
        <v>865583</v>
      </c>
      <c r="C7" s="37" t="s">
        <v>8</v>
      </c>
      <c r="D7" s="29">
        <v>41.96</v>
      </c>
      <c r="E7" s="30">
        <f>SUM(B7/D7)</f>
        <v>20628.765490943755</v>
      </c>
      <c r="F7" s="29"/>
      <c r="G7" s="31"/>
      <c r="H7" s="31"/>
      <c r="I7" s="31"/>
      <c r="J7" s="31"/>
      <c r="K7" s="31"/>
      <c r="L7" s="31"/>
      <c r="M7" s="31"/>
    </row>
    <row r="8" spans="1:13" ht="15.75" customHeight="1">
      <c r="A8" s="35" t="s">
        <v>216</v>
      </c>
      <c r="B8" s="36">
        <v>807240</v>
      </c>
      <c r="C8" s="37" t="s">
        <v>23</v>
      </c>
      <c r="D8" s="29">
        <v>17</v>
      </c>
      <c r="E8" s="30">
        <f>SUM(B8/D8)</f>
        <v>47484.705882352944</v>
      </c>
      <c r="F8" s="29"/>
      <c r="H8" s="31"/>
      <c r="I8" s="31"/>
      <c r="J8" s="31"/>
      <c r="K8" s="31"/>
      <c r="L8" s="31"/>
      <c r="M8" s="31"/>
    </row>
    <row r="9" spans="1:13" ht="15.75" customHeight="1">
      <c r="A9" s="35" t="s">
        <v>217</v>
      </c>
      <c r="B9" s="36">
        <f>SUM(687934+78209)</f>
        <v>766143</v>
      </c>
      <c r="C9" s="37" t="s">
        <v>8</v>
      </c>
      <c r="D9" s="29">
        <v>90</v>
      </c>
      <c r="E9" s="30">
        <f>SUM(B9/D9)</f>
        <v>8512.7000000000007</v>
      </c>
      <c r="F9" s="29"/>
      <c r="G9" s="31"/>
      <c r="H9" s="31"/>
      <c r="I9" s="31"/>
      <c r="J9" s="31"/>
      <c r="K9" s="31"/>
      <c r="L9" s="31"/>
      <c r="M9" s="31"/>
    </row>
    <row r="10" spans="1:13" ht="15.75" customHeight="1">
      <c r="A10" s="35" t="s">
        <v>218</v>
      </c>
      <c r="B10" s="36">
        <v>689430</v>
      </c>
      <c r="C10" s="37" t="s">
        <v>23</v>
      </c>
      <c r="D10" s="29">
        <v>8.2799999999999994</v>
      </c>
      <c r="E10" s="30">
        <f>SUM(B10/D10)</f>
        <v>83264.492753623199</v>
      </c>
      <c r="F10" s="29"/>
      <c r="G10" s="31"/>
      <c r="H10" s="31"/>
      <c r="I10" s="31"/>
      <c r="J10" s="31"/>
      <c r="K10" s="31"/>
      <c r="L10" s="31"/>
      <c r="M10" s="31"/>
    </row>
    <row r="11" spans="1:13" ht="15.75" customHeight="1">
      <c r="A11" s="35" t="s">
        <v>68</v>
      </c>
      <c r="B11" s="36">
        <f>SUM(520983+166638)</f>
        <v>687621</v>
      </c>
      <c r="C11" s="37" t="s">
        <v>8</v>
      </c>
      <c r="D11" s="29">
        <v>12.67</v>
      </c>
      <c r="E11" s="30">
        <f>SUM(B11/D11)</f>
        <v>54271.5864246251</v>
      </c>
      <c r="F11" s="29"/>
      <c r="G11" s="31"/>
      <c r="H11" s="31"/>
      <c r="I11" s="31"/>
      <c r="J11" s="31"/>
      <c r="K11" s="31"/>
      <c r="L11" s="31"/>
      <c r="M11" s="31"/>
    </row>
    <row r="12" spans="1:13" ht="15.75" customHeight="1">
      <c r="A12" s="35" t="s">
        <v>219</v>
      </c>
      <c r="B12" s="36">
        <v>665926</v>
      </c>
      <c r="C12" s="37" t="s">
        <v>8</v>
      </c>
      <c r="D12" s="29">
        <v>17</v>
      </c>
      <c r="E12" s="30">
        <f>SUM(B12/D12)</f>
        <v>39172.117647058825</v>
      </c>
      <c r="F12" s="29"/>
      <c r="G12" s="31"/>
      <c r="H12" s="31"/>
      <c r="I12" s="31"/>
      <c r="J12" s="31"/>
      <c r="K12" s="31"/>
      <c r="L12" s="31"/>
      <c r="M12" s="31"/>
    </row>
    <row r="13" spans="1:13" ht="15.75" customHeight="1">
      <c r="A13" s="35" t="s">
        <v>220</v>
      </c>
      <c r="B13" s="36">
        <v>652955</v>
      </c>
      <c r="C13" s="37" t="s">
        <v>8</v>
      </c>
      <c r="D13" s="29">
        <v>20</v>
      </c>
      <c r="E13" s="30">
        <f>SUM(B13/D13)</f>
        <v>32647.75</v>
      </c>
      <c r="F13" s="29"/>
      <c r="G13" s="31"/>
      <c r="H13" s="31"/>
      <c r="I13" s="31"/>
      <c r="J13" s="31"/>
      <c r="K13" s="31"/>
      <c r="L13" s="31"/>
      <c r="M13" s="31"/>
    </row>
    <row r="14" spans="1:13" ht="15.75" customHeight="1">
      <c r="A14" s="35" t="s">
        <v>221</v>
      </c>
      <c r="B14" s="36">
        <v>639612</v>
      </c>
      <c r="C14" s="37" t="s">
        <v>213</v>
      </c>
      <c r="D14" s="29">
        <v>1158</v>
      </c>
      <c r="E14" s="30">
        <f>SUM(B14/D14)</f>
        <v>552.34196891191709</v>
      </c>
      <c r="F14" s="29"/>
      <c r="G14" s="31"/>
      <c r="H14" s="31"/>
      <c r="I14" s="31"/>
      <c r="J14" s="31"/>
      <c r="K14" s="31"/>
      <c r="L14" s="31"/>
      <c r="M14" s="31"/>
    </row>
    <row r="15" spans="1:13" ht="36.75" customHeight="1">
      <c r="A15" s="35" t="s">
        <v>222</v>
      </c>
      <c r="B15" s="36">
        <v>628006</v>
      </c>
      <c r="C15" s="37" t="s">
        <v>213</v>
      </c>
      <c r="D15" s="29">
        <v>215.5</v>
      </c>
      <c r="E15" s="30">
        <f>SUM(B15/D15)</f>
        <v>2914.1809744779584</v>
      </c>
      <c r="F15" s="29"/>
      <c r="G15" s="31"/>
      <c r="H15" s="31"/>
      <c r="I15" s="31"/>
      <c r="J15" s="31"/>
      <c r="K15" s="31"/>
      <c r="L15" s="31"/>
      <c r="M15" s="31"/>
    </row>
    <row r="16" spans="1:13" ht="15.75" customHeight="1">
      <c r="A16" s="35" t="s">
        <v>223</v>
      </c>
      <c r="B16" s="36">
        <v>615726</v>
      </c>
      <c r="C16" s="37" t="s">
        <v>23</v>
      </c>
      <c r="D16" s="29">
        <v>111</v>
      </c>
      <c r="E16" s="30">
        <f>SUM(B16/D16)</f>
        <v>5547.0810810810808</v>
      </c>
      <c r="F16" s="29"/>
      <c r="G16" s="31"/>
      <c r="H16" s="31"/>
      <c r="I16" s="31"/>
      <c r="J16" s="31"/>
      <c r="K16" s="31"/>
      <c r="L16" s="31"/>
      <c r="M16" s="31"/>
    </row>
    <row r="17" spans="1:13" ht="24">
      <c r="A17" s="35" t="s">
        <v>224</v>
      </c>
      <c r="B17" s="36">
        <v>613459</v>
      </c>
      <c r="C17" s="37" t="s">
        <v>213</v>
      </c>
      <c r="D17" s="29">
        <v>21.42</v>
      </c>
      <c r="E17" s="30">
        <f>SUM(B17/D17)</f>
        <v>28639.542483660127</v>
      </c>
      <c r="F17" s="29"/>
      <c r="G17" s="31"/>
      <c r="H17" s="31"/>
      <c r="I17" s="31"/>
      <c r="J17" s="31"/>
      <c r="K17" s="31"/>
      <c r="L17" s="31"/>
      <c r="M17" s="31"/>
    </row>
    <row r="18" spans="1:13" ht="24">
      <c r="A18" s="35" t="s">
        <v>225</v>
      </c>
      <c r="B18" s="36">
        <v>595308</v>
      </c>
      <c r="C18" s="37" t="s">
        <v>23</v>
      </c>
      <c r="D18" s="29">
        <v>200</v>
      </c>
      <c r="E18" s="30">
        <f>SUM(B18/D18)</f>
        <v>2976.54</v>
      </c>
      <c r="F18" s="29"/>
      <c r="G18" s="31"/>
      <c r="H18" s="31"/>
      <c r="I18" s="31"/>
      <c r="J18" s="31"/>
      <c r="K18" s="31"/>
      <c r="L18" s="31"/>
      <c r="M18" s="31"/>
    </row>
    <row r="19" spans="1:13" ht="24">
      <c r="A19" s="35" t="s">
        <v>226</v>
      </c>
      <c r="B19" s="36">
        <v>591321</v>
      </c>
      <c r="C19" s="37" t="s">
        <v>213</v>
      </c>
      <c r="D19" s="29">
        <v>137</v>
      </c>
      <c r="E19" s="30">
        <f>SUM(B19/D19)</f>
        <v>4316.2116788321164</v>
      </c>
      <c r="F19" s="29"/>
      <c r="G19" s="31"/>
      <c r="H19" s="31"/>
      <c r="I19" s="31"/>
      <c r="J19" s="31"/>
      <c r="K19" s="31"/>
      <c r="L19" s="31"/>
      <c r="M19" s="31"/>
    </row>
    <row r="20" spans="1:13" ht="15.75" customHeight="1">
      <c r="A20" s="35" t="s">
        <v>177</v>
      </c>
      <c r="B20" s="36">
        <f>SUM(83150+157888+342971)</f>
        <v>584009</v>
      </c>
      <c r="C20" s="37" t="s">
        <v>8</v>
      </c>
      <c r="D20" s="29">
        <v>2.8</v>
      </c>
      <c r="E20" s="30">
        <f>SUM(B20/D20)</f>
        <v>208574.64285714287</v>
      </c>
      <c r="F20" s="29"/>
      <c r="G20" s="31"/>
      <c r="H20" s="31"/>
      <c r="I20" s="31"/>
      <c r="J20" s="31"/>
      <c r="K20" s="31"/>
      <c r="L20" s="31"/>
      <c r="M20" s="31"/>
    </row>
    <row r="21" spans="1:13" ht="15.75" customHeight="1">
      <c r="A21" s="35" t="s">
        <v>164</v>
      </c>
      <c r="B21" s="36">
        <v>575008</v>
      </c>
      <c r="C21" s="37" t="s">
        <v>8</v>
      </c>
      <c r="D21" s="29">
        <v>64.75</v>
      </c>
      <c r="E21" s="30">
        <f>SUM(B21/D21)</f>
        <v>8880.4324324324316</v>
      </c>
      <c r="F21" s="29"/>
      <c r="G21" s="31"/>
      <c r="H21" s="31"/>
      <c r="I21" s="31"/>
      <c r="J21" s="31"/>
      <c r="K21" s="31"/>
      <c r="L21" s="31"/>
      <c r="M21" s="31"/>
    </row>
    <row r="22" spans="1:13" ht="15.75" customHeight="1">
      <c r="A22" s="35" t="s">
        <v>227</v>
      </c>
      <c r="B22" s="36">
        <v>569648</v>
      </c>
      <c r="C22" s="37" t="s">
        <v>8</v>
      </c>
      <c r="D22" s="29">
        <v>75</v>
      </c>
      <c r="E22" s="30">
        <f>SUM(B22/D22)</f>
        <v>7595.3066666666664</v>
      </c>
      <c r="F22" s="29"/>
      <c r="G22" s="31"/>
      <c r="H22" s="31"/>
      <c r="I22" s="31"/>
      <c r="J22" s="31"/>
      <c r="K22" s="31"/>
      <c r="L22" s="31"/>
      <c r="M22" s="31"/>
    </row>
    <row r="23" spans="1:13" ht="15.75" customHeight="1">
      <c r="A23" s="35" t="s">
        <v>228</v>
      </c>
      <c r="B23" s="36">
        <v>566591</v>
      </c>
      <c r="C23" s="37" t="s">
        <v>23</v>
      </c>
      <c r="D23" s="29">
        <v>600</v>
      </c>
      <c r="E23" s="30">
        <f>SUM(B23/D23)</f>
        <v>944.31833333333338</v>
      </c>
      <c r="F23" s="29"/>
      <c r="G23" s="31"/>
      <c r="H23" s="31"/>
      <c r="I23" s="31"/>
      <c r="J23" s="31"/>
      <c r="K23" s="31"/>
      <c r="L23" s="31"/>
      <c r="M23" s="31"/>
    </row>
    <row r="24" spans="1:13" ht="15.75" customHeight="1">
      <c r="A24" s="35" t="s">
        <v>229</v>
      </c>
      <c r="B24" s="36">
        <v>555446</v>
      </c>
      <c r="C24" s="37" t="s">
        <v>213</v>
      </c>
      <c r="D24" s="29">
        <v>11.8</v>
      </c>
      <c r="E24" s="30">
        <f>SUM(B24/D24)</f>
        <v>47071.694915254237</v>
      </c>
      <c r="F24" s="29"/>
      <c r="G24" s="31"/>
      <c r="H24" s="31"/>
      <c r="I24" s="31"/>
      <c r="J24" s="31"/>
      <c r="K24" s="31"/>
      <c r="L24" s="31"/>
      <c r="M24" s="31"/>
    </row>
    <row r="25" spans="1:13" ht="15.75" customHeight="1">
      <c r="A25" s="35" t="s">
        <v>230</v>
      </c>
      <c r="B25" s="36">
        <v>536864</v>
      </c>
      <c r="C25" s="37" t="s">
        <v>8</v>
      </c>
      <c r="D25" s="29">
        <v>103</v>
      </c>
      <c r="E25" s="30">
        <f>SUM(B25/D25)</f>
        <v>5212.2718446601939</v>
      </c>
      <c r="F25" s="29"/>
      <c r="G25" s="31"/>
      <c r="H25" s="31"/>
      <c r="I25" s="31"/>
      <c r="J25" s="31"/>
      <c r="K25" s="31"/>
      <c r="L25" s="31"/>
      <c r="M25" s="31"/>
    </row>
    <row r="26" spans="1:13" ht="24">
      <c r="A26" s="35" t="s">
        <v>231</v>
      </c>
      <c r="B26" s="36">
        <v>527895</v>
      </c>
      <c r="C26" s="37" t="s">
        <v>213</v>
      </c>
      <c r="D26" s="29">
        <v>1001</v>
      </c>
      <c r="E26" s="30">
        <f>SUM(B26/D26)</f>
        <v>527.36763236763238</v>
      </c>
      <c r="F26" s="29"/>
      <c r="G26" s="31"/>
      <c r="H26" s="31"/>
      <c r="I26" s="31"/>
      <c r="J26" s="31"/>
      <c r="K26" s="31"/>
      <c r="L26" s="31"/>
      <c r="M26" s="31"/>
    </row>
    <row r="27" spans="1:13" ht="15.75" customHeight="1">
      <c r="A27" s="35" t="s">
        <v>174</v>
      </c>
      <c r="B27" s="36">
        <v>509156</v>
      </c>
      <c r="C27" s="37" t="s">
        <v>23</v>
      </c>
      <c r="D27" s="29">
        <v>50</v>
      </c>
      <c r="E27" s="30">
        <f>SUM(B27/D27)</f>
        <v>10183.120000000001</v>
      </c>
      <c r="F27" s="29"/>
      <c r="G27" s="31"/>
      <c r="H27" s="31"/>
      <c r="I27" s="31"/>
      <c r="J27" s="31"/>
      <c r="K27" s="31"/>
      <c r="L27" s="31"/>
      <c r="M27" s="31"/>
    </row>
    <row r="28" spans="1:13" ht="15.75" customHeight="1">
      <c r="A28" s="35" t="s">
        <v>232</v>
      </c>
      <c r="B28" s="36">
        <v>508653</v>
      </c>
      <c r="C28" s="37" t="s">
        <v>213</v>
      </c>
      <c r="D28" s="29">
        <v>7.73</v>
      </c>
      <c r="E28" s="30">
        <f>SUM(B28/D28)</f>
        <v>65802.457956015525</v>
      </c>
      <c r="F28" s="29"/>
      <c r="G28" s="31"/>
      <c r="H28" s="31"/>
      <c r="I28" s="31"/>
      <c r="J28" s="31"/>
      <c r="K28" s="31"/>
      <c r="L28" s="31"/>
      <c r="M28" s="31"/>
    </row>
    <row r="29" spans="1:13" ht="15.75" customHeight="1">
      <c r="A29" s="35" t="s">
        <v>233</v>
      </c>
      <c r="B29" s="36">
        <v>480141</v>
      </c>
      <c r="C29" s="37" t="s">
        <v>23</v>
      </c>
      <c r="D29" s="29">
        <v>400</v>
      </c>
      <c r="E29" s="30">
        <f>SUM(B29/D29)</f>
        <v>1200.3525</v>
      </c>
      <c r="F29" s="29"/>
      <c r="G29" s="31"/>
      <c r="H29" s="31"/>
      <c r="I29" s="31"/>
      <c r="J29" s="31"/>
      <c r="K29" s="31"/>
      <c r="L29" s="31"/>
      <c r="M29" s="31"/>
    </row>
    <row r="30" spans="1:13" ht="24">
      <c r="A30" s="35" t="s">
        <v>234</v>
      </c>
      <c r="B30" s="36">
        <f>SUM(98865+101357+214007+64840)</f>
        <v>479069</v>
      </c>
      <c r="C30" s="37" t="s">
        <v>23</v>
      </c>
      <c r="D30" s="29">
        <v>304.27999999999997</v>
      </c>
      <c r="E30" s="30">
        <f>SUM(B30/D30)</f>
        <v>1574.4347311686606</v>
      </c>
      <c r="F30" s="29"/>
      <c r="G30" s="31"/>
      <c r="H30" s="31"/>
      <c r="I30" s="31"/>
      <c r="J30" s="31"/>
      <c r="K30" s="31"/>
      <c r="L30" s="31"/>
      <c r="M30" s="31"/>
    </row>
    <row r="31" spans="1:13" ht="15.75" customHeight="1">
      <c r="A31" s="35" t="s">
        <v>235</v>
      </c>
      <c r="B31" s="36">
        <v>436926</v>
      </c>
      <c r="C31" s="37" t="s">
        <v>23</v>
      </c>
      <c r="D31" s="29">
        <v>30</v>
      </c>
      <c r="E31" s="30">
        <f>SUM(B31/D31)</f>
        <v>14564.2</v>
      </c>
      <c r="F31" s="29"/>
      <c r="G31" s="31"/>
      <c r="H31" s="31"/>
      <c r="I31" s="31"/>
      <c r="J31" s="31"/>
      <c r="K31" s="31"/>
      <c r="L31" s="31"/>
      <c r="M31" s="31"/>
    </row>
    <row r="32" spans="1:13" ht="15.75" customHeight="1">
      <c r="A32" s="35" t="s">
        <v>236</v>
      </c>
      <c r="B32" s="36">
        <v>424450</v>
      </c>
      <c r="C32" s="37" t="s">
        <v>23</v>
      </c>
      <c r="D32" s="29">
        <v>2400</v>
      </c>
      <c r="E32" s="30">
        <f>SUM(B32/D32)</f>
        <v>176.85416666666666</v>
      </c>
      <c r="F32" s="29"/>
      <c r="G32" s="31"/>
      <c r="H32" s="31"/>
      <c r="I32" s="31"/>
      <c r="J32" s="31"/>
      <c r="K32" s="31"/>
      <c r="L32" s="31"/>
      <c r="M32" s="31"/>
    </row>
    <row r="33" spans="1:13" ht="24">
      <c r="A33" s="35" t="s">
        <v>237</v>
      </c>
      <c r="B33" s="36">
        <v>419938</v>
      </c>
      <c r="C33" s="37" t="s">
        <v>23</v>
      </c>
      <c r="D33" s="29">
        <v>47.027000000000001</v>
      </c>
      <c r="E33" s="30">
        <f>SUM(B33/D33)</f>
        <v>8929.7212239777145</v>
      </c>
      <c r="F33" s="29"/>
      <c r="G33" s="31"/>
      <c r="H33" s="31"/>
      <c r="I33" s="31"/>
      <c r="J33" s="31"/>
      <c r="K33" s="31"/>
      <c r="L33" s="31"/>
      <c r="M33" s="31"/>
    </row>
    <row r="34" spans="1:13" ht="15.75" customHeight="1">
      <c r="A34" s="35" t="s">
        <v>238</v>
      </c>
      <c r="B34" s="36">
        <v>344879</v>
      </c>
      <c r="C34" s="37" t="s">
        <v>8</v>
      </c>
      <c r="D34" s="29">
        <v>8.86</v>
      </c>
      <c r="E34" s="30">
        <f>SUM(B34/D34)</f>
        <v>38925.395033860048</v>
      </c>
      <c r="F34" s="29"/>
      <c r="G34" s="31"/>
      <c r="H34" s="31"/>
      <c r="I34" s="31"/>
      <c r="J34" s="31"/>
      <c r="K34" s="31"/>
      <c r="L34" s="31"/>
      <c r="M34" s="31"/>
    </row>
    <row r="35" spans="1:13" ht="15.75" customHeight="1">
      <c r="A35" s="35" t="s">
        <v>239</v>
      </c>
      <c r="B35" s="36">
        <v>342605</v>
      </c>
      <c r="C35" s="37" t="s">
        <v>8</v>
      </c>
      <c r="D35" s="29">
        <v>6</v>
      </c>
      <c r="E35" s="30">
        <f>SUM(B35/D35)</f>
        <v>57100.833333333336</v>
      </c>
      <c r="F35" s="29"/>
      <c r="G35" s="31"/>
      <c r="H35" s="31"/>
      <c r="I35" s="31"/>
      <c r="J35" s="31"/>
      <c r="K35" s="31"/>
      <c r="L35" s="31"/>
      <c r="M35" s="31"/>
    </row>
    <row r="36" spans="1:13" ht="15.75" customHeight="1">
      <c r="A36" s="35" t="s">
        <v>10</v>
      </c>
      <c r="B36" s="36">
        <f>SUM(147206+98293+76811)</f>
        <v>322310</v>
      </c>
      <c r="C36" s="37" t="s">
        <v>8</v>
      </c>
      <c r="D36" s="29">
        <v>70.58</v>
      </c>
      <c r="E36" s="30">
        <f>SUM(B36/D36)</f>
        <v>4566.5911022952678</v>
      </c>
      <c r="F36" s="29"/>
      <c r="G36" s="31"/>
      <c r="H36" s="31"/>
      <c r="I36" s="31"/>
      <c r="J36" s="31"/>
      <c r="K36" s="31"/>
      <c r="L36" s="31"/>
      <c r="M36" s="31"/>
    </row>
    <row r="37" spans="1:13" ht="15.75" customHeight="1">
      <c r="A37" s="35" t="s">
        <v>240</v>
      </c>
      <c r="B37" s="36">
        <v>311426</v>
      </c>
      <c r="C37" s="37" t="s">
        <v>23</v>
      </c>
      <c r="D37" s="29">
        <v>98.84</v>
      </c>
      <c r="E37" s="30">
        <f>SUM(B37/D37)</f>
        <v>3150.809388911372</v>
      </c>
      <c r="F37" s="29"/>
      <c r="G37" s="31"/>
      <c r="H37" s="31"/>
      <c r="I37" s="31"/>
      <c r="J37" s="31"/>
      <c r="K37" s="31"/>
      <c r="L37" s="31"/>
      <c r="M37" s="31"/>
    </row>
    <row r="38" spans="1:13" ht="15.75" customHeight="1">
      <c r="A38" s="35" t="s">
        <v>241</v>
      </c>
      <c r="B38" s="36">
        <v>303545</v>
      </c>
      <c r="C38" s="37" t="s">
        <v>23</v>
      </c>
      <c r="D38" s="29">
        <v>8.59</v>
      </c>
      <c r="E38" s="30">
        <f>SUM(B38/D38)</f>
        <v>35337.019790454018</v>
      </c>
      <c r="F38" s="29"/>
      <c r="G38" s="31"/>
      <c r="H38" s="31"/>
      <c r="I38" s="31"/>
      <c r="J38" s="31"/>
      <c r="K38" s="31"/>
      <c r="L38" s="31"/>
      <c r="M38" s="31"/>
    </row>
    <row r="39" spans="1:13" ht="15.75" customHeight="1">
      <c r="A39" s="35" t="s">
        <v>242</v>
      </c>
      <c r="B39" s="36">
        <v>292706</v>
      </c>
      <c r="C39" s="37" t="s">
        <v>8</v>
      </c>
      <c r="D39" s="29">
        <v>27</v>
      </c>
      <c r="E39" s="30">
        <f>SUM(B39/D39)</f>
        <v>10840.962962962964</v>
      </c>
      <c r="F39" s="29"/>
      <c r="G39" s="31"/>
      <c r="H39" s="31"/>
      <c r="I39" s="31"/>
      <c r="J39" s="31"/>
      <c r="K39" s="31"/>
      <c r="L39" s="31"/>
      <c r="M39" s="31"/>
    </row>
    <row r="40" spans="1:13" ht="24">
      <c r="A40" s="35" t="s">
        <v>243</v>
      </c>
      <c r="B40" s="36">
        <v>280018</v>
      </c>
      <c r="C40" s="37" t="s">
        <v>8</v>
      </c>
      <c r="D40" s="29">
        <v>15.24</v>
      </c>
      <c r="E40" s="30">
        <f>SUM(B40/D40)</f>
        <v>18373.884514435696</v>
      </c>
      <c r="F40" s="29"/>
      <c r="G40" s="31"/>
      <c r="H40" s="31"/>
      <c r="I40" s="31"/>
      <c r="J40" s="31"/>
      <c r="K40" s="31"/>
      <c r="L40" s="31"/>
      <c r="M40" s="31"/>
    </row>
    <row r="41" spans="1:13" ht="24">
      <c r="A41" s="35" t="s">
        <v>244</v>
      </c>
      <c r="B41" s="36">
        <v>271286</v>
      </c>
      <c r="C41" s="37" t="s">
        <v>8</v>
      </c>
      <c r="D41" s="29">
        <v>19.239999999999998</v>
      </c>
      <c r="E41" s="30">
        <f>SUM(B41/D41)</f>
        <v>14100.10395010395</v>
      </c>
      <c r="F41" s="29"/>
      <c r="G41" s="31"/>
      <c r="H41" s="31"/>
      <c r="I41" s="31"/>
      <c r="J41" s="31"/>
      <c r="K41" s="31"/>
      <c r="L41" s="31"/>
      <c r="M41" s="31"/>
    </row>
    <row r="42" spans="1:13" ht="15.75" customHeight="1">
      <c r="A42" s="35" t="s">
        <v>77</v>
      </c>
      <c r="B42" s="36">
        <v>250654</v>
      </c>
      <c r="C42" s="37" t="s">
        <v>8</v>
      </c>
      <c r="D42" s="29">
        <v>720.38</v>
      </c>
      <c r="E42" s="30">
        <f>SUM(B42/D42)</f>
        <v>347.94691690496683</v>
      </c>
      <c r="F42" s="29"/>
      <c r="G42" s="31"/>
      <c r="H42" s="31"/>
      <c r="I42" s="31"/>
      <c r="J42" s="31"/>
      <c r="K42" s="31"/>
      <c r="L42" s="31"/>
      <c r="M42" s="31"/>
    </row>
    <row r="43" spans="1:13" ht="15.75" customHeight="1">
      <c r="A43" s="35" t="s">
        <v>245</v>
      </c>
      <c r="B43" s="36">
        <v>248709</v>
      </c>
      <c r="C43" s="37" t="s">
        <v>8</v>
      </c>
      <c r="D43" s="29">
        <v>126.78</v>
      </c>
      <c r="E43" s="30">
        <f>SUM(B43/D43)</f>
        <v>1961.7368670137246</v>
      </c>
      <c r="F43" s="29"/>
      <c r="G43" s="31"/>
      <c r="H43" s="31"/>
      <c r="I43" s="31"/>
      <c r="J43" s="31"/>
      <c r="K43" s="31"/>
      <c r="L43" s="31"/>
      <c r="M43" s="31"/>
    </row>
    <row r="44" spans="1:13" ht="15.75" customHeight="1">
      <c r="A44" s="35" t="s">
        <v>246</v>
      </c>
      <c r="B44" s="36">
        <v>242917</v>
      </c>
      <c r="C44" s="37" t="s">
        <v>8</v>
      </c>
      <c r="D44" s="29">
        <v>36</v>
      </c>
      <c r="E44" s="30">
        <f>SUM(B44/D44)</f>
        <v>6747.6944444444443</v>
      </c>
      <c r="F44" s="29"/>
      <c r="G44" s="31"/>
      <c r="H44" s="31"/>
      <c r="I44" s="31"/>
      <c r="J44" s="31"/>
      <c r="K44" s="31"/>
      <c r="L44" s="31"/>
      <c r="M44" s="31"/>
    </row>
    <row r="45" spans="1:13" ht="24">
      <c r="A45" s="35" t="s">
        <v>247</v>
      </c>
      <c r="B45" s="36">
        <v>210983</v>
      </c>
      <c r="C45" s="37" t="s">
        <v>23</v>
      </c>
      <c r="D45" s="29">
        <v>18.600000000000001</v>
      </c>
      <c r="E45" s="30">
        <f>SUM(B45/D45)</f>
        <v>11343.172043010753</v>
      </c>
      <c r="F45" s="29"/>
      <c r="G45" s="31"/>
      <c r="H45" s="31"/>
      <c r="I45" s="31"/>
      <c r="J45" s="31"/>
      <c r="K45" s="31"/>
      <c r="L45" s="31"/>
      <c r="M45" s="31"/>
    </row>
    <row r="46" spans="1:13" ht="15.75" customHeight="1">
      <c r="A46" s="35" t="s">
        <v>248</v>
      </c>
      <c r="B46" s="36">
        <v>206831</v>
      </c>
      <c r="C46" s="37" t="s">
        <v>213</v>
      </c>
      <c r="D46" s="29">
        <v>74.11</v>
      </c>
      <c r="E46" s="30">
        <f>SUM(B46/D46)</f>
        <v>2790.8649305087033</v>
      </c>
      <c r="F46" s="29"/>
      <c r="G46" s="31"/>
      <c r="H46" s="31"/>
      <c r="I46" s="31"/>
      <c r="J46" s="31"/>
      <c r="K46" s="31"/>
      <c r="L46" s="31"/>
      <c r="M46" s="31"/>
    </row>
    <row r="47" spans="1:13" ht="15.75" customHeight="1">
      <c r="A47" s="35" t="s">
        <v>249</v>
      </c>
      <c r="B47" s="36">
        <v>202927</v>
      </c>
      <c r="C47" s="37" t="s">
        <v>8</v>
      </c>
      <c r="D47" s="29">
        <v>7.74</v>
      </c>
      <c r="E47" s="30">
        <f>SUM(B47/D47)</f>
        <v>26217.958656330749</v>
      </c>
      <c r="F47" s="29"/>
      <c r="G47" s="31"/>
      <c r="H47" s="31"/>
      <c r="I47" s="31"/>
      <c r="J47" s="31"/>
      <c r="K47" s="31"/>
      <c r="L47" s="31"/>
      <c r="M47" s="31"/>
    </row>
    <row r="48" spans="1:13" ht="15.75" customHeight="1">
      <c r="A48" s="35" t="s">
        <v>250</v>
      </c>
      <c r="B48" s="38">
        <f>SUM(118243+71389)</f>
        <v>189632</v>
      </c>
      <c r="C48" s="35" t="s">
        <v>213</v>
      </c>
      <c r="D48" s="31">
        <v>10.9</v>
      </c>
      <c r="E48" s="39">
        <f>SUM(B48/D48)</f>
        <v>17397.431192660551</v>
      </c>
      <c r="F48" s="31"/>
      <c r="G48" s="31"/>
      <c r="H48" s="31"/>
      <c r="I48" s="31"/>
      <c r="J48" s="31"/>
      <c r="K48" s="31"/>
      <c r="L48" s="31"/>
      <c r="M48" s="31"/>
    </row>
    <row r="49" spans="1:13" ht="15.75" customHeight="1">
      <c r="A49" s="35" t="s">
        <v>251</v>
      </c>
      <c r="B49" s="36">
        <v>188832</v>
      </c>
      <c r="C49" s="37" t="s">
        <v>8</v>
      </c>
      <c r="D49" s="29">
        <v>16.600000000000001</v>
      </c>
      <c r="E49" s="30">
        <f>SUM(B49/D49)</f>
        <v>11375.421686746988</v>
      </c>
      <c r="F49" s="29"/>
      <c r="G49" s="31"/>
      <c r="H49" s="31"/>
      <c r="I49" s="31"/>
      <c r="J49" s="31"/>
      <c r="K49" s="31"/>
      <c r="L49" s="31"/>
      <c r="M49" s="31"/>
    </row>
    <row r="50" spans="1:13" ht="15.75" customHeight="1">
      <c r="A50" s="35" t="s">
        <v>252</v>
      </c>
      <c r="B50" s="36">
        <v>165371</v>
      </c>
      <c r="C50" s="37" t="s">
        <v>8</v>
      </c>
      <c r="D50" s="29">
        <v>9</v>
      </c>
      <c r="E50" s="30">
        <f>SUM(B50/D50)</f>
        <v>18374.555555555555</v>
      </c>
      <c r="F50" s="29"/>
      <c r="G50" s="31"/>
      <c r="H50" s="31"/>
      <c r="I50" s="31"/>
      <c r="J50" s="31"/>
      <c r="K50" s="31"/>
      <c r="L50" s="31"/>
      <c r="M50" s="31"/>
    </row>
    <row r="51" spans="1:13" ht="15.75" customHeight="1">
      <c r="A51" s="35" t="s">
        <v>253</v>
      </c>
      <c r="B51" s="36">
        <v>162683</v>
      </c>
      <c r="C51" s="37" t="s">
        <v>213</v>
      </c>
      <c r="D51" s="29">
        <v>21.42</v>
      </c>
      <c r="E51" s="30">
        <f>SUM(B51/D51)</f>
        <v>7594.9112978524736</v>
      </c>
      <c r="F51" s="29"/>
      <c r="G51" s="31"/>
      <c r="H51" s="31"/>
      <c r="I51" s="31"/>
      <c r="J51" s="31"/>
      <c r="K51" s="31"/>
      <c r="L51" s="31"/>
      <c r="M51" s="31"/>
    </row>
    <row r="52" spans="1:13" ht="24">
      <c r="A52" s="35" t="s">
        <v>254</v>
      </c>
      <c r="B52" s="36">
        <v>147739</v>
      </c>
      <c r="C52" s="37" t="s">
        <v>8</v>
      </c>
      <c r="D52" s="29">
        <v>7.04</v>
      </c>
      <c r="E52" s="30">
        <f>SUM(B52/D52)</f>
        <v>20985.653409090908</v>
      </c>
      <c r="F52" s="29"/>
      <c r="G52" s="31"/>
      <c r="H52" s="31"/>
      <c r="I52" s="31"/>
      <c r="J52" s="31"/>
      <c r="K52" s="31"/>
      <c r="L52" s="31"/>
      <c r="M52" s="31"/>
    </row>
    <row r="53" spans="1:13" ht="24">
      <c r="A53" s="35" t="s">
        <v>15</v>
      </c>
      <c r="B53" s="36">
        <v>145377</v>
      </c>
      <c r="C53" s="37" t="s">
        <v>8</v>
      </c>
      <c r="D53" s="29">
        <v>132.34</v>
      </c>
      <c r="E53" s="30">
        <f>SUM(B53/D53)</f>
        <v>1098.5114100045337</v>
      </c>
      <c r="F53" s="29"/>
      <c r="G53" s="31"/>
      <c r="H53" s="31"/>
      <c r="I53" s="31"/>
      <c r="J53" s="31"/>
      <c r="K53" s="31"/>
      <c r="L53" s="31"/>
      <c r="M53" s="31"/>
    </row>
    <row r="54" spans="1:13" ht="15.75" customHeight="1">
      <c r="A54" s="35" t="s">
        <v>255</v>
      </c>
      <c r="B54" s="36">
        <v>144601</v>
      </c>
      <c r="C54" s="37" t="s">
        <v>213</v>
      </c>
      <c r="D54" s="29">
        <v>209</v>
      </c>
      <c r="E54" s="30">
        <f>SUM(B54/D54)</f>
        <v>691.87081339712915</v>
      </c>
      <c r="F54" s="29"/>
      <c r="G54" s="31"/>
      <c r="H54" s="31"/>
      <c r="I54" s="31"/>
      <c r="J54" s="31"/>
      <c r="K54" s="31"/>
      <c r="L54" s="31"/>
      <c r="M54" s="31"/>
    </row>
    <row r="55" spans="1:13" ht="15.75" customHeight="1">
      <c r="A55" s="35" t="s">
        <v>256</v>
      </c>
      <c r="B55" s="36">
        <v>114059</v>
      </c>
      <c r="C55" s="37" t="s">
        <v>8</v>
      </c>
      <c r="D55" s="29">
        <v>48</v>
      </c>
      <c r="E55" s="30">
        <f>SUM(B55/D55)</f>
        <v>2376.2291666666665</v>
      </c>
      <c r="F55" s="29"/>
      <c r="G55" s="31"/>
      <c r="H55" s="31"/>
      <c r="I55" s="31"/>
      <c r="J55" s="31"/>
      <c r="K55" s="31"/>
      <c r="L55" s="31"/>
      <c r="M55" s="31"/>
    </row>
    <row r="56" spans="1:13" ht="15.75" customHeight="1">
      <c r="A56" s="35" t="s">
        <v>257</v>
      </c>
      <c r="B56" s="36">
        <v>101393</v>
      </c>
      <c r="C56" s="37" t="s">
        <v>8</v>
      </c>
      <c r="D56" s="29">
        <v>76</v>
      </c>
      <c r="E56" s="30">
        <f>SUM(B56/D56)</f>
        <v>1334.1184210526317</v>
      </c>
      <c r="F56" s="29"/>
      <c r="G56" s="31"/>
      <c r="H56" s="31"/>
      <c r="I56" s="31"/>
      <c r="J56" s="31"/>
      <c r="K56" s="31"/>
      <c r="L56" s="31"/>
      <c r="M56" s="31"/>
    </row>
    <row r="57" spans="1:13" ht="15.75" customHeight="1">
      <c r="A57" s="35" t="s">
        <v>41</v>
      </c>
      <c r="B57" s="36">
        <v>96036</v>
      </c>
      <c r="C57" s="37" t="s">
        <v>8</v>
      </c>
      <c r="D57" s="29">
        <v>126.24</v>
      </c>
      <c r="E57" s="30">
        <f>SUM(B57/D57)</f>
        <v>760.74144486692023</v>
      </c>
      <c r="F57" s="29"/>
      <c r="G57" s="31"/>
      <c r="H57" s="31"/>
      <c r="I57" s="31"/>
      <c r="J57" s="31"/>
      <c r="K57" s="31"/>
      <c r="L57" s="31"/>
      <c r="M57" s="31"/>
    </row>
    <row r="58" spans="1:13" ht="15.75" customHeight="1">
      <c r="A58" s="35" t="s">
        <v>258</v>
      </c>
      <c r="B58" s="36">
        <v>94582</v>
      </c>
      <c r="C58" s="37" t="s">
        <v>8</v>
      </c>
      <c r="D58" s="29">
        <v>67.599999999999994</v>
      </c>
      <c r="E58" s="30">
        <f>SUM(B58/D58)</f>
        <v>1399.1420118343196</v>
      </c>
      <c r="F58" s="29"/>
      <c r="G58" s="31"/>
      <c r="H58" s="31"/>
      <c r="I58" s="31"/>
      <c r="J58" s="31"/>
      <c r="K58" s="31"/>
      <c r="L58" s="31"/>
      <c r="M58" s="31"/>
    </row>
    <row r="59" spans="1:13" ht="15.75" customHeight="1">
      <c r="A59" s="35" t="s">
        <v>259</v>
      </c>
      <c r="B59" s="36">
        <v>89096</v>
      </c>
      <c r="C59" s="37" t="s">
        <v>8</v>
      </c>
      <c r="D59" s="29">
        <v>431</v>
      </c>
      <c r="E59" s="30">
        <f>SUM(B59/D59)</f>
        <v>206.71925754060325</v>
      </c>
      <c r="F59" s="29"/>
      <c r="G59" s="31"/>
      <c r="H59" s="31"/>
      <c r="I59" s="31"/>
      <c r="J59" s="31"/>
      <c r="K59" s="31"/>
      <c r="L59" s="31"/>
      <c r="M59" s="31"/>
    </row>
    <row r="60" spans="1:13" ht="15.75" customHeight="1">
      <c r="A60" s="35" t="s">
        <v>161</v>
      </c>
      <c r="B60" s="36">
        <v>85971</v>
      </c>
      <c r="C60" s="37" t="s">
        <v>8</v>
      </c>
      <c r="D60" s="29">
        <v>13.94</v>
      </c>
      <c r="E60" s="30">
        <f>SUM(B60/D60)</f>
        <v>6167.2166427546626</v>
      </c>
      <c r="F60" s="29"/>
      <c r="G60" s="31"/>
      <c r="H60" s="31"/>
      <c r="I60" s="31"/>
      <c r="J60" s="31"/>
      <c r="K60" s="31"/>
      <c r="L60" s="31"/>
      <c r="M60" s="31"/>
    </row>
    <row r="61" spans="1:13" ht="15.75" customHeight="1">
      <c r="A61" s="35" t="s">
        <v>260</v>
      </c>
      <c r="B61" s="36">
        <v>84949</v>
      </c>
      <c r="C61" s="37" t="s">
        <v>213</v>
      </c>
      <c r="D61" s="29">
        <v>10.4</v>
      </c>
      <c r="E61" s="30">
        <f>SUM(B61/D61)</f>
        <v>8168.1730769230762</v>
      </c>
      <c r="F61" s="29"/>
      <c r="G61" s="31"/>
      <c r="H61" s="31"/>
      <c r="I61" s="31"/>
      <c r="J61" s="31"/>
      <c r="K61" s="31"/>
      <c r="L61" s="31"/>
      <c r="M61" s="31"/>
    </row>
    <row r="62" spans="1:13" ht="15.75" customHeight="1">
      <c r="A62" s="35" t="s">
        <v>91</v>
      </c>
      <c r="B62" s="36">
        <v>77919</v>
      </c>
      <c r="C62" s="37" t="s">
        <v>8</v>
      </c>
      <c r="D62" s="29">
        <v>2</v>
      </c>
      <c r="E62" s="30">
        <f>SUM(B62/D62)</f>
        <v>38959.5</v>
      </c>
      <c r="F62" s="29"/>
      <c r="G62" s="31"/>
      <c r="H62" s="31"/>
      <c r="I62" s="31"/>
      <c r="J62" s="31"/>
      <c r="K62" s="31"/>
      <c r="L62" s="31"/>
      <c r="M62" s="31"/>
    </row>
    <row r="63" spans="1:13" ht="15.75" customHeight="1">
      <c r="A63" s="35" t="s">
        <v>261</v>
      </c>
      <c r="B63" s="36">
        <v>77324</v>
      </c>
      <c r="C63" s="37" t="s">
        <v>23</v>
      </c>
      <c r="D63" s="29">
        <v>5</v>
      </c>
      <c r="E63" s="30">
        <f>SUM(B63/D63)</f>
        <v>15464.8</v>
      </c>
      <c r="F63" s="29"/>
      <c r="G63" s="31"/>
      <c r="H63" s="31"/>
      <c r="I63" s="31"/>
      <c r="J63" s="31"/>
      <c r="K63" s="31"/>
      <c r="L63" s="31"/>
      <c r="M63" s="31"/>
    </row>
    <row r="64" spans="1:13" ht="28.5" customHeight="1">
      <c r="A64" s="35" t="s">
        <v>262</v>
      </c>
      <c r="B64" s="36">
        <v>63387</v>
      </c>
      <c r="C64" s="37" t="s">
        <v>8</v>
      </c>
      <c r="D64" s="29">
        <v>1.4</v>
      </c>
      <c r="E64" s="30">
        <f>SUM(B64/D64)</f>
        <v>45276.428571428572</v>
      </c>
      <c r="F64" s="29"/>
      <c r="G64" s="31"/>
      <c r="H64" s="31"/>
      <c r="I64" s="31"/>
      <c r="J64" s="31"/>
      <c r="K64" s="31"/>
      <c r="L64" s="31"/>
      <c r="M64" s="31"/>
    </row>
    <row r="65" spans="1:13" ht="15.75" customHeight="1">
      <c r="A65" s="35" t="s">
        <v>263</v>
      </c>
      <c r="B65" s="36">
        <v>52831</v>
      </c>
      <c r="C65" s="37" t="s">
        <v>213</v>
      </c>
      <c r="D65" s="29">
        <v>12.1</v>
      </c>
      <c r="E65" s="30">
        <f>SUM(B65/D65)</f>
        <v>4366.1983471074382</v>
      </c>
      <c r="F65" s="29"/>
      <c r="G65" s="31"/>
      <c r="H65" s="31"/>
      <c r="I65" s="31"/>
      <c r="J65" s="31"/>
      <c r="K65" s="31"/>
      <c r="L65" s="31"/>
      <c r="M65" s="31"/>
    </row>
    <row r="66" spans="1:13" ht="15.75" customHeight="1">
      <c r="A66" s="35" t="s">
        <v>264</v>
      </c>
      <c r="B66" s="36">
        <v>52198</v>
      </c>
      <c r="C66" s="37" t="s">
        <v>8</v>
      </c>
      <c r="D66" s="29">
        <v>5.59</v>
      </c>
      <c r="E66" s="30">
        <f>SUM(B66/D66)</f>
        <v>9337.7459749552781</v>
      </c>
      <c r="F66" s="29"/>
      <c r="G66" s="31"/>
      <c r="H66" s="31"/>
      <c r="I66" s="31"/>
      <c r="J66" s="31"/>
      <c r="K66" s="31"/>
      <c r="L66" s="31"/>
      <c r="M66" s="31"/>
    </row>
    <row r="67" spans="1:13" ht="24.75" customHeight="1">
      <c r="A67" s="35" t="s">
        <v>265</v>
      </c>
      <c r="B67" s="36">
        <v>50582</v>
      </c>
      <c r="C67" s="37" t="s">
        <v>8</v>
      </c>
      <c r="D67" s="29">
        <v>1.84</v>
      </c>
      <c r="E67" s="30">
        <f>SUM(B67/D67)</f>
        <v>27490.217391304348</v>
      </c>
      <c r="F67" s="29"/>
      <c r="G67" s="31"/>
      <c r="H67" s="31"/>
      <c r="I67" s="31"/>
      <c r="J67" s="31"/>
      <c r="K67" s="31"/>
      <c r="L67" s="31"/>
      <c r="M67" s="31"/>
    </row>
    <row r="68" spans="1:13" ht="15.75" customHeight="1">
      <c r="A68" s="35" t="s">
        <v>266</v>
      </c>
      <c r="B68" s="36">
        <v>44417</v>
      </c>
      <c r="C68" s="37" t="s">
        <v>23</v>
      </c>
      <c r="D68" s="29">
        <v>2000</v>
      </c>
      <c r="E68" s="30">
        <f>SUM(B68/D68)</f>
        <v>22.208500000000001</v>
      </c>
      <c r="F68" s="29"/>
      <c r="G68" s="31"/>
      <c r="H68" s="31"/>
      <c r="I68" s="31"/>
      <c r="J68" s="31"/>
      <c r="K68" s="31"/>
      <c r="L68" s="31"/>
      <c r="M68" s="31"/>
    </row>
    <row r="69" spans="1:13" ht="15.75" customHeight="1">
      <c r="A69" s="35" t="s">
        <v>267</v>
      </c>
      <c r="B69" s="36">
        <v>43731</v>
      </c>
      <c r="C69" s="37" t="s">
        <v>8</v>
      </c>
      <c r="D69" s="29">
        <v>3.6</v>
      </c>
      <c r="E69" s="30">
        <f>SUM(B69/D69)</f>
        <v>12147.5</v>
      </c>
      <c r="F69" s="29"/>
      <c r="G69" s="31"/>
      <c r="H69" s="31"/>
      <c r="I69" s="31"/>
      <c r="J69" s="31"/>
      <c r="K69" s="31"/>
      <c r="L69" s="31"/>
      <c r="M69" s="31"/>
    </row>
    <row r="70" spans="1:13" ht="15.75" customHeight="1">
      <c r="A70" s="35" t="s">
        <v>268</v>
      </c>
      <c r="B70" s="36">
        <v>39423</v>
      </c>
      <c r="C70" s="37" t="s">
        <v>8</v>
      </c>
      <c r="D70" s="29">
        <v>1.5</v>
      </c>
      <c r="E70" s="30">
        <f>SUM(B70/D70)</f>
        <v>26282</v>
      </c>
      <c r="F70" s="29"/>
      <c r="G70" s="31"/>
      <c r="H70" s="31"/>
      <c r="I70" s="31"/>
      <c r="J70" s="31"/>
      <c r="K70" s="31"/>
      <c r="L70" s="31"/>
      <c r="M70" s="31"/>
    </row>
    <row r="71" spans="1:13" ht="15.75" customHeight="1">
      <c r="A71" s="35" t="s">
        <v>269</v>
      </c>
      <c r="B71" s="36">
        <v>33895</v>
      </c>
      <c r="C71" s="37" t="s">
        <v>8</v>
      </c>
      <c r="D71" s="29">
        <v>77.5</v>
      </c>
      <c r="E71" s="30">
        <f>SUM(B71/D71)</f>
        <v>437.35483870967744</v>
      </c>
      <c r="F71" s="29"/>
      <c r="G71" s="31"/>
      <c r="H71" s="31"/>
      <c r="I71" s="31"/>
      <c r="J71" s="31"/>
      <c r="K71" s="31"/>
      <c r="L71" s="31"/>
      <c r="M71" s="31"/>
    </row>
    <row r="72" spans="1:13" ht="15.75" customHeight="1">
      <c r="A72" s="35" t="s">
        <v>270</v>
      </c>
      <c r="B72" s="36">
        <v>21428</v>
      </c>
      <c r="C72" s="37" t="s">
        <v>8</v>
      </c>
      <c r="D72" s="29">
        <v>3</v>
      </c>
      <c r="E72" s="30">
        <f>SUM(B72/D72)</f>
        <v>7142.666666666667</v>
      </c>
      <c r="F72" s="29"/>
      <c r="G72" s="31"/>
      <c r="H72" s="31"/>
      <c r="I72" s="31"/>
      <c r="J72" s="31"/>
      <c r="K72" s="31"/>
      <c r="L72" s="31"/>
      <c r="M72" s="31"/>
    </row>
    <row r="73" spans="1:13" ht="15.75" customHeight="1">
      <c r="A73" s="35" t="s">
        <v>271</v>
      </c>
      <c r="B73" s="36">
        <v>18066</v>
      </c>
      <c r="C73" s="37" t="s">
        <v>8</v>
      </c>
      <c r="D73" s="29">
        <v>1.22</v>
      </c>
      <c r="E73" s="30">
        <f>SUM(B73/D73)</f>
        <v>14808.196721311475</v>
      </c>
      <c r="F73" s="29"/>
      <c r="G73" s="29"/>
      <c r="H73" s="29"/>
      <c r="I73" s="29"/>
      <c r="J73" s="29"/>
      <c r="K73" s="29"/>
      <c r="L73" s="29"/>
      <c r="M73" s="29"/>
    </row>
    <row r="74" spans="1:13" ht="15.75" customHeight="1">
      <c r="A74" s="35" t="s">
        <v>11</v>
      </c>
      <c r="B74" s="36">
        <v>16206</v>
      </c>
      <c r="C74" s="37" t="s">
        <v>8</v>
      </c>
      <c r="D74" s="29">
        <v>2.7719999999999998</v>
      </c>
      <c r="E74" s="30">
        <f>SUM(B74/D74)</f>
        <v>5846.3203463203472</v>
      </c>
      <c r="F74" s="29"/>
      <c r="G74" s="29"/>
      <c r="H74" s="29"/>
      <c r="I74" s="29"/>
      <c r="J74" s="29"/>
      <c r="K74" s="29"/>
      <c r="L74" s="29"/>
      <c r="M74" s="29"/>
    </row>
    <row r="75" spans="1:13" ht="15.75" customHeight="1">
      <c r="A75" s="35" t="s">
        <v>272</v>
      </c>
      <c r="B75" s="36">
        <v>11459</v>
      </c>
      <c r="C75" s="37" t="s">
        <v>8</v>
      </c>
      <c r="D75" s="29">
        <v>4.5</v>
      </c>
      <c r="E75" s="30">
        <f>SUM(B75/D75)</f>
        <v>2546.4444444444443</v>
      </c>
      <c r="F75" s="29"/>
      <c r="G75" s="29"/>
      <c r="H75" s="29"/>
      <c r="I75" s="29"/>
      <c r="J75" s="29"/>
      <c r="K75" s="29"/>
      <c r="L75" s="29"/>
      <c r="M75" s="29"/>
    </row>
    <row r="76" spans="1:13" ht="15.75" customHeight="1">
      <c r="A76" s="31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</row>
    <row r="77" spans="1:13" ht="15.75" customHeight="1">
      <c r="A77" s="31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</row>
    <row r="78" spans="1:13" ht="15.75" customHeight="1">
      <c r="A78" s="31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</row>
    <row r="79" spans="1:13" ht="123" customHeight="1">
      <c r="A79" s="40" t="s">
        <v>273</v>
      </c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</row>
  </sheetData>
  <mergeCells count="1">
    <mergeCell ref="A1:M1"/>
  </mergeCell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F9D3F-36A1-4891-92A7-4A4FB71F0AB8}">
  <dimension ref="A1:E193"/>
  <sheetViews>
    <sheetView workbookViewId="0">
      <selection activeCell="D9" sqref="D9"/>
    </sheetView>
  </sheetViews>
  <sheetFormatPr defaultRowHeight="12.75"/>
  <cols>
    <col min="1" max="1" width="35.42578125" customWidth="1"/>
    <col min="2" max="2" width="24.85546875" customWidth="1"/>
    <col min="3" max="3" width="30.28515625" customWidth="1"/>
    <col min="4" max="4" width="28.5703125" customWidth="1"/>
    <col min="5" max="5" width="32.7109375" customWidth="1"/>
  </cols>
  <sheetData>
    <row r="1" spans="1:5" s="50" customFormat="1" ht="13.5">
      <c r="A1" s="48" t="s">
        <v>274</v>
      </c>
      <c r="B1" s="48" t="s">
        <v>275</v>
      </c>
      <c r="C1" s="48" t="s">
        <v>276</v>
      </c>
      <c r="D1" s="48" t="s">
        <v>178</v>
      </c>
      <c r="E1" s="49" t="s">
        <v>277</v>
      </c>
    </row>
    <row r="2" spans="1:5" ht="24">
      <c r="A2" s="42" t="s">
        <v>278</v>
      </c>
      <c r="B2" s="42" t="s">
        <v>279</v>
      </c>
      <c r="C2" s="42" t="s">
        <v>280</v>
      </c>
      <c r="D2" s="42" t="s">
        <v>281</v>
      </c>
      <c r="E2" s="43">
        <v>44774</v>
      </c>
    </row>
    <row r="3" spans="1:5" ht="24">
      <c r="A3" s="42" t="s">
        <v>282</v>
      </c>
      <c r="B3" s="42" t="s">
        <v>283</v>
      </c>
      <c r="C3" s="42" t="s">
        <v>170</v>
      </c>
      <c r="D3" s="42" t="s">
        <v>170</v>
      </c>
      <c r="E3" s="43">
        <v>44562</v>
      </c>
    </row>
    <row r="4" spans="1:5" ht="36">
      <c r="A4" s="42" t="s">
        <v>284</v>
      </c>
      <c r="B4" s="42" t="s">
        <v>285</v>
      </c>
      <c r="C4" s="42" t="s">
        <v>286</v>
      </c>
      <c r="D4" s="42" t="s">
        <v>287</v>
      </c>
      <c r="E4" s="43">
        <v>44713</v>
      </c>
    </row>
    <row r="5" spans="1:5" ht="24">
      <c r="A5" s="42" t="s">
        <v>288</v>
      </c>
      <c r="B5" s="42" t="s">
        <v>289</v>
      </c>
      <c r="C5" s="42" t="s">
        <v>290</v>
      </c>
      <c r="D5" s="42" t="s">
        <v>169</v>
      </c>
      <c r="E5" s="43">
        <v>44682</v>
      </c>
    </row>
    <row r="6" spans="1:5" ht="36">
      <c r="A6" s="42" t="s">
        <v>291</v>
      </c>
      <c r="B6" s="42" t="s">
        <v>292</v>
      </c>
      <c r="C6" s="42" t="s">
        <v>293</v>
      </c>
      <c r="D6" s="42" t="s">
        <v>142</v>
      </c>
      <c r="E6" s="43">
        <v>44621</v>
      </c>
    </row>
    <row r="7" spans="1:5" ht="24">
      <c r="A7" s="42" t="s">
        <v>294</v>
      </c>
      <c r="B7" s="42" t="s">
        <v>295</v>
      </c>
      <c r="C7" s="42" t="s">
        <v>296</v>
      </c>
      <c r="D7" s="42" t="s">
        <v>297</v>
      </c>
      <c r="E7" s="43">
        <v>44866</v>
      </c>
    </row>
    <row r="8" spans="1:5" ht="36">
      <c r="A8" s="42" t="s">
        <v>298</v>
      </c>
      <c r="B8" s="42" t="s">
        <v>299</v>
      </c>
      <c r="C8" s="42" t="s">
        <v>300</v>
      </c>
      <c r="D8" s="42" t="s">
        <v>169</v>
      </c>
      <c r="E8" s="43">
        <v>44896</v>
      </c>
    </row>
    <row r="9" spans="1:5" ht="24">
      <c r="A9" s="42" t="s">
        <v>301</v>
      </c>
      <c r="B9" s="42" t="s">
        <v>302</v>
      </c>
      <c r="C9" s="42" t="s">
        <v>296</v>
      </c>
      <c r="D9" s="42" t="s">
        <v>297</v>
      </c>
      <c r="E9" s="43">
        <v>44835</v>
      </c>
    </row>
    <row r="10" spans="1:5" ht="36">
      <c r="A10" s="42" t="s">
        <v>303</v>
      </c>
      <c r="B10" s="42" t="s">
        <v>304</v>
      </c>
      <c r="C10" s="42" t="s">
        <v>305</v>
      </c>
      <c r="D10" s="42" t="s">
        <v>169</v>
      </c>
      <c r="E10" s="43">
        <v>44805</v>
      </c>
    </row>
    <row r="11" spans="1:5" ht="24">
      <c r="A11" s="42" t="s">
        <v>306</v>
      </c>
      <c r="B11" s="42" t="s">
        <v>307</v>
      </c>
      <c r="C11" s="42" t="s">
        <v>300</v>
      </c>
      <c r="D11" s="42" t="s">
        <v>19</v>
      </c>
      <c r="E11" s="43">
        <v>44866</v>
      </c>
    </row>
    <row r="12" spans="1:5" ht="36">
      <c r="A12" s="42" t="s">
        <v>308</v>
      </c>
      <c r="B12" s="42" t="s">
        <v>309</v>
      </c>
      <c r="C12" s="42" t="s">
        <v>300</v>
      </c>
      <c r="D12" s="42" t="s">
        <v>169</v>
      </c>
      <c r="E12" s="43">
        <v>44805</v>
      </c>
    </row>
    <row r="13" spans="1:5" ht="24">
      <c r="A13" s="42" t="s">
        <v>310</v>
      </c>
      <c r="B13" s="42" t="s">
        <v>311</v>
      </c>
      <c r="C13" s="42" t="s">
        <v>17</v>
      </c>
      <c r="D13" s="42" t="s">
        <v>17</v>
      </c>
      <c r="E13" s="43">
        <v>44835</v>
      </c>
    </row>
    <row r="14" spans="1:5" ht="24">
      <c r="A14" s="42" t="s">
        <v>312</v>
      </c>
      <c r="B14" s="42" t="s">
        <v>313</v>
      </c>
      <c r="C14" s="42" t="s">
        <v>314</v>
      </c>
      <c r="D14" s="42" t="s">
        <v>23</v>
      </c>
      <c r="E14" s="43">
        <v>44866</v>
      </c>
    </row>
    <row r="15" spans="1:5" ht="36">
      <c r="A15" s="42" t="s">
        <v>315</v>
      </c>
      <c r="B15" s="42" t="s">
        <v>316</v>
      </c>
      <c r="C15" s="42" t="s">
        <v>317</v>
      </c>
      <c r="D15" s="42" t="s">
        <v>213</v>
      </c>
      <c r="E15" s="43">
        <v>44682</v>
      </c>
    </row>
    <row r="16" spans="1:5" ht="24">
      <c r="A16" s="42" t="s">
        <v>318</v>
      </c>
      <c r="B16" s="42" t="s">
        <v>319</v>
      </c>
      <c r="C16" s="42" t="s">
        <v>300</v>
      </c>
      <c r="D16" s="42" t="s">
        <v>320</v>
      </c>
      <c r="E16" s="43">
        <v>44835</v>
      </c>
    </row>
    <row r="17" spans="1:5" ht="24">
      <c r="A17" s="42" t="s">
        <v>321</v>
      </c>
      <c r="B17" s="42" t="s">
        <v>322</v>
      </c>
      <c r="C17" s="42" t="s">
        <v>300</v>
      </c>
      <c r="D17" s="42" t="s">
        <v>8</v>
      </c>
      <c r="E17" s="43">
        <v>44835</v>
      </c>
    </row>
    <row r="18" spans="1:5" ht="24">
      <c r="A18" s="42" t="s">
        <v>323</v>
      </c>
      <c r="B18" s="42" t="s">
        <v>324</v>
      </c>
      <c r="C18" s="42" t="s">
        <v>325</v>
      </c>
      <c r="D18" s="42" t="s">
        <v>170</v>
      </c>
      <c r="E18" s="43">
        <v>44774</v>
      </c>
    </row>
    <row r="19" spans="1:5" ht="48">
      <c r="A19" s="42" t="s">
        <v>326</v>
      </c>
      <c r="B19" s="42" t="s">
        <v>327</v>
      </c>
      <c r="C19" s="42" t="s">
        <v>170</v>
      </c>
      <c r="D19" s="42" t="s">
        <v>170</v>
      </c>
      <c r="E19" s="43">
        <v>44774</v>
      </c>
    </row>
    <row r="20" spans="1:5" ht="24">
      <c r="A20" s="42" t="s">
        <v>328</v>
      </c>
      <c r="B20" s="42" t="s">
        <v>329</v>
      </c>
      <c r="C20" s="42" t="s">
        <v>300</v>
      </c>
      <c r="D20" s="42" t="s">
        <v>8</v>
      </c>
      <c r="E20" s="43">
        <v>44835</v>
      </c>
    </row>
    <row r="21" spans="1:5" ht="36">
      <c r="A21" s="42" t="s">
        <v>330</v>
      </c>
      <c r="B21" s="42" t="s">
        <v>331</v>
      </c>
      <c r="C21" s="42" t="s">
        <v>332</v>
      </c>
      <c r="D21" s="42" t="s">
        <v>114</v>
      </c>
      <c r="E21" s="43">
        <v>44896</v>
      </c>
    </row>
    <row r="22" spans="1:5" ht="36">
      <c r="A22" s="42" t="s">
        <v>333</v>
      </c>
      <c r="B22" s="42" t="s">
        <v>334</v>
      </c>
      <c r="C22" s="42" t="s">
        <v>335</v>
      </c>
      <c r="D22" s="42" t="s">
        <v>320</v>
      </c>
      <c r="E22" s="43">
        <v>44593</v>
      </c>
    </row>
    <row r="23" spans="1:5" ht="36">
      <c r="A23" s="42" t="s">
        <v>336</v>
      </c>
      <c r="B23" s="42" t="s">
        <v>337</v>
      </c>
      <c r="C23" s="42" t="s">
        <v>300</v>
      </c>
      <c r="D23" s="42" t="s">
        <v>8</v>
      </c>
      <c r="E23" s="43">
        <v>44805</v>
      </c>
    </row>
    <row r="24" spans="1:5" ht="36">
      <c r="A24" s="42" t="s">
        <v>338</v>
      </c>
      <c r="B24" s="42" t="s">
        <v>339</v>
      </c>
      <c r="C24" s="42" t="s">
        <v>340</v>
      </c>
      <c r="D24" s="42" t="s">
        <v>297</v>
      </c>
      <c r="E24" s="43">
        <v>44593</v>
      </c>
    </row>
    <row r="25" spans="1:5" ht="36">
      <c r="A25" s="42" t="s">
        <v>341</v>
      </c>
      <c r="B25" s="42" t="s">
        <v>342</v>
      </c>
      <c r="C25" s="42" t="s">
        <v>300</v>
      </c>
      <c r="D25" s="42" t="s">
        <v>343</v>
      </c>
      <c r="E25" s="43">
        <v>44562</v>
      </c>
    </row>
    <row r="26" spans="1:5" ht="24">
      <c r="A26" s="42" t="s">
        <v>344</v>
      </c>
      <c r="B26" s="42" t="s">
        <v>345</v>
      </c>
      <c r="C26" s="42" t="s">
        <v>170</v>
      </c>
      <c r="D26" s="42" t="s">
        <v>320</v>
      </c>
      <c r="E26" s="43">
        <v>44682</v>
      </c>
    </row>
    <row r="27" spans="1:5" ht="36">
      <c r="A27" s="42" t="s">
        <v>346</v>
      </c>
      <c r="B27" s="42" t="s">
        <v>347</v>
      </c>
      <c r="C27" s="42" t="s">
        <v>348</v>
      </c>
      <c r="D27" s="42" t="s">
        <v>50</v>
      </c>
      <c r="E27" s="43">
        <v>44562</v>
      </c>
    </row>
    <row r="28" spans="1:5" ht="24">
      <c r="A28" s="42" t="s">
        <v>323</v>
      </c>
      <c r="B28" s="42" t="s">
        <v>349</v>
      </c>
      <c r="C28" s="42" t="s">
        <v>300</v>
      </c>
      <c r="D28" s="42" t="s">
        <v>8</v>
      </c>
      <c r="E28" s="43">
        <v>44743</v>
      </c>
    </row>
    <row r="29" spans="1:5" ht="36">
      <c r="A29" s="42" t="s">
        <v>350</v>
      </c>
      <c r="B29" s="42" t="s">
        <v>351</v>
      </c>
      <c r="C29" s="42" t="s">
        <v>340</v>
      </c>
      <c r="D29" s="42" t="s">
        <v>297</v>
      </c>
      <c r="E29" s="43">
        <v>44835</v>
      </c>
    </row>
    <row r="30" spans="1:5" ht="24">
      <c r="A30" s="42" t="s">
        <v>352</v>
      </c>
      <c r="B30" s="42" t="s">
        <v>353</v>
      </c>
      <c r="C30" s="42" t="s">
        <v>17</v>
      </c>
      <c r="D30" s="42" t="s">
        <v>17</v>
      </c>
      <c r="E30" s="43">
        <v>44652</v>
      </c>
    </row>
    <row r="31" spans="1:5" ht="24">
      <c r="A31" s="42" t="s">
        <v>354</v>
      </c>
      <c r="B31" s="42" t="s">
        <v>355</v>
      </c>
      <c r="C31" s="42" t="s">
        <v>296</v>
      </c>
      <c r="D31" s="42" t="s">
        <v>297</v>
      </c>
      <c r="E31" s="43">
        <v>44652</v>
      </c>
    </row>
    <row r="32" spans="1:5" ht="36">
      <c r="A32" s="42" t="s">
        <v>356</v>
      </c>
      <c r="B32" s="42" t="s">
        <v>357</v>
      </c>
      <c r="C32" s="42" t="s">
        <v>300</v>
      </c>
      <c r="D32" s="42" t="s">
        <v>8</v>
      </c>
      <c r="E32" s="43">
        <v>44621</v>
      </c>
    </row>
    <row r="33" spans="1:5" ht="36">
      <c r="A33" s="42" t="s">
        <v>358</v>
      </c>
      <c r="B33" s="42" t="s">
        <v>359</v>
      </c>
      <c r="C33" s="42" t="s">
        <v>300</v>
      </c>
      <c r="D33" s="42" t="s">
        <v>169</v>
      </c>
      <c r="E33" s="43">
        <v>44562</v>
      </c>
    </row>
    <row r="34" spans="1:5" ht="36">
      <c r="A34" s="42" t="s">
        <v>360</v>
      </c>
      <c r="B34" s="42" t="s">
        <v>361</v>
      </c>
      <c r="C34" s="42" t="s">
        <v>300</v>
      </c>
      <c r="D34" s="42" t="s">
        <v>8</v>
      </c>
      <c r="E34" s="43">
        <v>44593</v>
      </c>
    </row>
    <row r="35" spans="1:5" ht="24">
      <c r="A35" s="42" t="s">
        <v>362</v>
      </c>
      <c r="B35" s="42" t="s">
        <v>363</v>
      </c>
      <c r="C35" s="42" t="s">
        <v>364</v>
      </c>
      <c r="D35" s="42" t="s">
        <v>320</v>
      </c>
      <c r="E35" s="43">
        <v>44866</v>
      </c>
    </row>
    <row r="36" spans="1:5" ht="24">
      <c r="A36" s="42" t="s">
        <v>365</v>
      </c>
      <c r="B36" s="42" t="s">
        <v>366</v>
      </c>
      <c r="C36" s="42" t="s">
        <v>300</v>
      </c>
      <c r="D36" s="42" t="s">
        <v>8</v>
      </c>
      <c r="E36" s="43">
        <v>44774</v>
      </c>
    </row>
    <row r="37" spans="1:5" ht="24">
      <c r="A37" s="42" t="s">
        <v>367</v>
      </c>
      <c r="B37" s="42" t="s">
        <v>368</v>
      </c>
      <c r="C37" s="42" t="s">
        <v>300</v>
      </c>
      <c r="D37" s="42" t="s">
        <v>8</v>
      </c>
      <c r="E37" s="43">
        <v>44866</v>
      </c>
    </row>
    <row r="38" spans="1:5" ht="36">
      <c r="A38" s="42" t="s">
        <v>369</v>
      </c>
      <c r="B38" s="42" t="s">
        <v>370</v>
      </c>
      <c r="C38" s="42" t="s">
        <v>371</v>
      </c>
      <c r="D38" s="42" t="s">
        <v>50</v>
      </c>
      <c r="E38" s="43">
        <v>44805</v>
      </c>
    </row>
    <row r="39" spans="1:5" ht="24">
      <c r="A39" s="42" t="s">
        <v>372</v>
      </c>
      <c r="B39" s="42" t="s">
        <v>373</v>
      </c>
      <c r="C39" s="42" t="s">
        <v>300</v>
      </c>
      <c r="D39" s="42" t="s">
        <v>170</v>
      </c>
      <c r="E39" s="43">
        <v>44562</v>
      </c>
    </row>
    <row r="40" spans="1:5" ht="24">
      <c r="A40" s="42" t="s">
        <v>374</v>
      </c>
      <c r="B40" s="42" t="s">
        <v>375</v>
      </c>
      <c r="C40" s="42" t="s">
        <v>376</v>
      </c>
      <c r="D40" s="42" t="s">
        <v>23</v>
      </c>
      <c r="E40" s="43">
        <v>44562</v>
      </c>
    </row>
    <row r="41" spans="1:5" ht="24">
      <c r="A41" s="42" t="s">
        <v>377</v>
      </c>
      <c r="B41" s="42" t="s">
        <v>378</v>
      </c>
      <c r="C41" s="42" t="s">
        <v>300</v>
      </c>
      <c r="D41" s="42" t="s">
        <v>8</v>
      </c>
      <c r="E41" s="43">
        <v>44652</v>
      </c>
    </row>
    <row r="42" spans="1:5" ht="24">
      <c r="A42" s="42" t="s">
        <v>379</v>
      </c>
      <c r="B42" s="42" t="s">
        <v>380</v>
      </c>
      <c r="C42" s="42" t="s">
        <v>300</v>
      </c>
      <c r="D42" s="42" t="s">
        <v>23</v>
      </c>
      <c r="E42" s="43">
        <v>44866</v>
      </c>
    </row>
    <row r="43" spans="1:5" ht="36">
      <c r="A43" s="42" t="s">
        <v>381</v>
      </c>
      <c r="B43" s="42" t="s">
        <v>382</v>
      </c>
      <c r="C43" s="42" t="s">
        <v>383</v>
      </c>
      <c r="D43" s="42" t="s">
        <v>213</v>
      </c>
      <c r="E43" s="43">
        <v>44713</v>
      </c>
    </row>
    <row r="44" spans="1:5" ht="24">
      <c r="A44" s="42" t="s">
        <v>384</v>
      </c>
      <c r="B44" s="42" t="s">
        <v>385</v>
      </c>
      <c r="C44" s="42" t="s">
        <v>300</v>
      </c>
      <c r="D44" s="42" t="s">
        <v>8</v>
      </c>
      <c r="E44" s="43">
        <v>44593</v>
      </c>
    </row>
    <row r="45" spans="1:5" ht="24">
      <c r="A45" s="42" t="s">
        <v>386</v>
      </c>
      <c r="B45" s="42" t="s">
        <v>387</v>
      </c>
      <c r="C45" s="42" t="s">
        <v>300</v>
      </c>
      <c r="D45" s="42" t="s">
        <v>170</v>
      </c>
      <c r="E45" s="43">
        <v>44743</v>
      </c>
    </row>
    <row r="46" spans="1:5" ht="24">
      <c r="A46" s="42" t="s">
        <v>388</v>
      </c>
      <c r="B46" s="42" t="s">
        <v>389</v>
      </c>
      <c r="C46" s="42" t="s">
        <v>114</v>
      </c>
      <c r="D46" s="42" t="s">
        <v>114</v>
      </c>
      <c r="E46" s="43">
        <v>44835</v>
      </c>
    </row>
    <row r="47" spans="1:5" ht="24">
      <c r="A47" s="42" t="s">
        <v>390</v>
      </c>
      <c r="B47" s="42" t="s">
        <v>391</v>
      </c>
      <c r="C47" s="42" t="s">
        <v>392</v>
      </c>
      <c r="D47" s="42" t="s">
        <v>281</v>
      </c>
      <c r="E47" s="43">
        <v>44743</v>
      </c>
    </row>
    <row r="48" spans="1:5" ht="36">
      <c r="A48" s="42" t="s">
        <v>393</v>
      </c>
      <c r="B48" s="42" t="s">
        <v>394</v>
      </c>
      <c r="C48" s="42" t="s">
        <v>395</v>
      </c>
      <c r="D48" s="42" t="s">
        <v>281</v>
      </c>
      <c r="E48" s="43">
        <v>44713</v>
      </c>
    </row>
    <row r="49" spans="1:5" ht="24">
      <c r="A49" s="42" t="s">
        <v>396</v>
      </c>
      <c r="B49" s="42" t="s">
        <v>397</v>
      </c>
      <c r="C49" s="42" t="s">
        <v>17</v>
      </c>
      <c r="D49" s="42" t="s">
        <v>17</v>
      </c>
      <c r="E49" s="43">
        <v>44682</v>
      </c>
    </row>
    <row r="50" spans="1:5" ht="36">
      <c r="A50" s="42" t="s">
        <v>398</v>
      </c>
      <c r="B50" s="42" t="s">
        <v>399</v>
      </c>
      <c r="C50" s="42" t="s">
        <v>170</v>
      </c>
      <c r="D50" s="42" t="s">
        <v>170</v>
      </c>
      <c r="E50" s="43">
        <v>44896</v>
      </c>
    </row>
    <row r="51" spans="1:5" ht="36">
      <c r="A51" s="42" t="s">
        <v>400</v>
      </c>
      <c r="B51" s="42" t="s">
        <v>401</v>
      </c>
      <c r="C51" s="42" t="s">
        <v>392</v>
      </c>
      <c r="D51" s="42" t="s">
        <v>281</v>
      </c>
      <c r="E51" s="43">
        <v>44805</v>
      </c>
    </row>
    <row r="52" spans="1:5" ht="24">
      <c r="A52" s="42" t="s">
        <v>402</v>
      </c>
      <c r="B52" s="42" t="s">
        <v>403</v>
      </c>
      <c r="C52" s="42" t="s">
        <v>300</v>
      </c>
      <c r="D52" s="42" t="s">
        <v>8</v>
      </c>
      <c r="E52" s="43">
        <v>44562</v>
      </c>
    </row>
    <row r="53" spans="1:5" ht="24">
      <c r="A53" s="42" t="s">
        <v>404</v>
      </c>
      <c r="B53" s="42" t="s">
        <v>405</v>
      </c>
      <c r="C53" s="42" t="s">
        <v>300</v>
      </c>
      <c r="D53" s="42" t="s">
        <v>56</v>
      </c>
      <c r="E53" s="43">
        <v>44593</v>
      </c>
    </row>
    <row r="54" spans="1:5" ht="24">
      <c r="A54" s="42" t="s">
        <v>406</v>
      </c>
      <c r="B54" s="42" t="s">
        <v>407</v>
      </c>
      <c r="C54" s="42" t="s">
        <v>296</v>
      </c>
      <c r="D54" s="42" t="s">
        <v>297</v>
      </c>
      <c r="E54" s="43">
        <v>44835</v>
      </c>
    </row>
    <row r="55" spans="1:5" ht="24">
      <c r="A55" s="42" t="s">
        <v>408</v>
      </c>
      <c r="B55" s="42" t="s">
        <v>409</v>
      </c>
      <c r="C55" s="42" t="s">
        <v>300</v>
      </c>
      <c r="D55" s="42" t="s">
        <v>8</v>
      </c>
      <c r="E55" s="43">
        <v>44593</v>
      </c>
    </row>
    <row r="56" spans="1:5" ht="24">
      <c r="A56" s="42" t="s">
        <v>410</v>
      </c>
      <c r="B56" s="42" t="s">
        <v>411</v>
      </c>
      <c r="C56" s="42" t="s">
        <v>412</v>
      </c>
      <c r="D56" s="42" t="s">
        <v>169</v>
      </c>
      <c r="E56" s="43">
        <v>44896</v>
      </c>
    </row>
    <row r="57" spans="1:5" ht="36">
      <c r="A57" s="42" t="s">
        <v>413</v>
      </c>
      <c r="B57" s="42" t="s">
        <v>414</v>
      </c>
      <c r="C57" s="42" t="s">
        <v>300</v>
      </c>
      <c r="D57" s="42" t="s">
        <v>8</v>
      </c>
      <c r="E57" s="43">
        <v>44652</v>
      </c>
    </row>
    <row r="58" spans="1:5" ht="24">
      <c r="A58" s="42" t="s">
        <v>415</v>
      </c>
      <c r="B58" s="42" t="s">
        <v>416</v>
      </c>
      <c r="C58" s="42" t="s">
        <v>417</v>
      </c>
      <c r="D58" s="42" t="s">
        <v>287</v>
      </c>
      <c r="E58" s="43">
        <v>44682</v>
      </c>
    </row>
    <row r="59" spans="1:5" ht="36">
      <c r="A59" s="42" t="s">
        <v>418</v>
      </c>
      <c r="B59" s="42" t="s">
        <v>419</v>
      </c>
      <c r="C59" s="42" t="s">
        <v>300</v>
      </c>
      <c r="D59" s="42" t="s">
        <v>8</v>
      </c>
      <c r="E59" s="43">
        <v>44621</v>
      </c>
    </row>
    <row r="60" spans="1:5" ht="36">
      <c r="A60" s="42" t="s">
        <v>420</v>
      </c>
      <c r="B60" s="42" t="s">
        <v>421</v>
      </c>
      <c r="C60" s="42" t="s">
        <v>392</v>
      </c>
      <c r="D60" s="42" t="s">
        <v>281</v>
      </c>
      <c r="E60" s="43">
        <v>44652</v>
      </c>
    </row>
    <row r="61" spans="1:5" ht="36">
      <c r="A61" s="42" t="s">
        <v>422</v>
      </c>
      <c r="B61" s="42" t="s">
        <v>423</v>
      </c>
      <c r="C61" s="42" t="s">
        <v>19</v>
      </c>
      <c r="D61" s="42" t="s">
        <v>19</v>
      </c>
      <c r="E61" s="43">
        <v>44805</v>
      </c>
    </row>
    <row r="62" spans="1:5" ht="24">
      <c r="A62" s="42" t="s">
        <v>424</v>
      </c>
      <c r="B62" s="42" t="s">
        <v>425</v>
      </c>
      <c r="C62" s="42" t="s">
        <v>19</v>
      </c>
      <c r="D62" s="42" t="s">
        <v>19</v>
      </c>
      <c r="E62" s="43">
        <v>44682</v>
      </c>
    </row>
    <row r="63" spans="1:5" ht="24">
      <c r="A63" s="42" t="s">
        <v>426</v>
      </c>
      <c r="B63" s="42" t="s">
        <v>427</v>
      </c>
      <c r="C63" s="42" t="s">
        <v>428</v>
      </c>
      <c r="D63" s="42" t="s">
        <v>202</v>
      </c>
      <c r="E63" s="43">
        <v>44562</v>
      </c>
    </row>
    <row r="64" spans="1:5" ht="24">
      <c r="A64" s="42" t="s">
        <v>429</v>
      </c>
      <c r="B64" s="42" t="s">
        <v>430</v>
      </c>
      <c r="C64" s="42" t="s">
        <v>47</v>
      </c>
      <c r="D64" s="42" t="s">
        <v>281</v>
      </c>
      <c r="E64" s="43">
        <v>44562</v>
      </c>
    </row>
    <row r="65" spans="1:5" ht="24">
      <c r="A65" s="42" t="s">
        <v>431</v>
      </c>
      <c r="B65" s="42" t="s">
        <v>432</v>
      </c>
      <c r="C65" s="42" t="s">
        <v>432</v>
      </c>
      <c r="D65" s="42" t="s">
        <v>432</v>
      </c>
      <c r="E65" s="44"/>
    </row>
    <row r="66" spans="1:5" ht="24">
      <c r="A66" s="42" t="s">
        <v>433</v>
      </c>
      <c r="B66" s="42" t="s">
        <v>434</v>
      </c>
      <c r="C66" s="42" t="s">
        <v>250</v>
      </c>
      <c r="D66" s="42" t="s">
        <v>213</v>
      </c>
      <c r="E66" s="43">
        <v>44866</v>
      </c>
    </row>
    <row r="67" spans="1:5" ht="24">
      <c r="A67" s="42" t="s">
        <v>435</v>
      </c>
      <c r="B67" s="42" t="s">
        <v>414</v>
      </c>
      <c r="C67" s="42" t="s">
        <v>436</v>
      </c>
      <c r="D67" s="42" t="s">
        <v>8</v>
      </c>
      <c r="E67" s="43">
        <v>44652</v>
      </c>
    </row>
    <row r="68" spans="1:5" ht="36">
      <c r="A68" s="42" t="s">
        <v>437</v>
      </c>
      <c r="B68" s="42" t="s">
        <v>438</v>
      </c>
      <c r="C68" s="42" t="s">
        <v>215</v>
      </c>
      <c r="D68" s="42" t="s">
        <v>8</v>
      </c>
      <c r="E68" s="43">
        <v>44743</v>
      </c>
    </row>
    <row r="69" spans="1:5" ht="36">
      <c r="A69" s="42" t="s">
        <v>439</v>
      </c>
      <c r="B69" s="42" t="s">
        <v>440</v>
      </c>
      <c r="C69" s="42" t="s">
        <v>56</v>
      </c>
      <c r="D69" s="42" t="s">
        <v>56</v>
      </c>
      <c r="E69" s="43">
        <v>44621</v>
      </c>
    </row>
    <row r="70" spans="1:5" ht="24">
      <c r="A70" s="42" t="s">
        <v>441</v>
      </c>
      <c r="B70" s="42" t="s">
        <v>442</v>
      </c>
      <c r="C70" s="42" t="s">
        <v>250</v>
      </c>
      <c r="D70" s="42" t="s">
        <v>213</v>
      </c>
      <c r="E70" s="43">
        <v>44652</v>
      </c>
    </row>
    <row r="71" spans="1:5" ht="24">
      <c r="A71" s="42" t="s">
        <v>443</v>
      </c>
      <c r="B71" s="42" t="s">
        <v>444</v>
      </c>
      <c r="C71" s="42" t="s">
        <v>296</v>
      </c>
      <c r="D71" s="42" t="s">
        <v>297</v>
      </c>
      <c r="E71" s="43">
        <v>44652</v>
      </c>
    </row>
    <row r="72" spans="1:5" ht="24">
      <c r="A72" s="42" t="s">
        <v>445</v>
      </c>
      <c r="B72" s="42" t="s">
        <v>446</v>
      </c>
      <c r="C72" s="42" t="s">
        <v>23</v>
      </c>
      <c r="D72" s="42" t="s">
        <v>23</v>
      </c>
      <c r="E72" s="43">
        <v>44835</v>
      </c>
    </row>
    <row r="73" spans="1:5" ht="36">
      <c r="A73" s="42" t="s">
        <v>447</v>
      </c>
      <c r="B73" s="42" t="s">
        <v>448</v>
      </c>
      <c r="C73" s="42" t="s">
        <v>300</v>
      </c>
      <c r="D73" s="42" t="s">
        <v>50</v>
      </c>
      <c r="E73" s="43">
        <v>44621</v>
      </c>
    </row>
    <row r="74" spans="1:5" ht="24">
      <c r="A74" s="42" t="s">
        <v>449</v>
      </c>
      <c r="B74" s="42" t="s">
        <v>450</v>
      </c>
      <c r="C74" s="42" t="s">
        <v>300</v>
      </c>
      <c r="D74" s="42" t="s">
        <v>8</v>
      </c>
      <c r="E74" s="43">
        <v>44743</v>
      </c>
    </row>
    <row r="75" spans="1:5" ht="24">
      <c r="A75" s="42" t="s">
        <v>451</v>
      </c>
      <c r="B75" s="42" t="s">
        <v>452</v>
      </c>
      <c r="C75" s="42" t="s">
        <v>453</v>
      </c>
      <c r="D75" s="42" t="s">
        <v>297</v>
      </c>
      <c r="E75" s="43">
        <v>44593</v>
      </c>
    </row>
    <row r="76" spans="1:5" ht="36">
      <c r="A76" s="42" t="s">
        <v>454</v>
      </c>
      <c r="B76" s="42" t="s">
        <v>455</v>
      </c>
      <c r="C76" s="42" t="s">
        <v>300</v>
      </c>
      <c r="D76" s="42" t="s">
        <v>8</v>
      </c>
      <c r="E76" s="43">
        <v>44805</v>
      </c>
    </row>
    <row r="77" spans="1:5" ht="36">
      <c r="A77" s="42" t="s">
        <v>456</v>
      </c>
      <c r="B77" s="42" t="s">
        <v>457</v>
      </c>
      <c r="C77" s="42" t="s">
        <v>296</v>
      </c>
      <c r="D77" s="42" t="s">
        <v>297</v>
      </c>
      <c r="E77" s="43">
        <v>44562</v>
      </c>
    </row>
    <row r="78" spans="1:5" ht="24">
      <c r="A78" s="42" t="s">
        <v>458</v>
      </c>
      <c r="B78" s="42" t="s">
        <v>459</v>
      </c>
      <c r="C78" s="42" t="s">
        <v>300</v>
      </c>
      <c r="D78" s="42" t="s">
        <v>8</v>
      </c>
      <c r="E78" s="43">
        <v>44652</v>
      </c>
    </row>
    <row r="79" spans="1:5" ht="36">
      <c r="A79" s="42" t="s">
        <v>460</v>
      </c>
      <c r="B79" s="42" t="s">
        <v>461</v>
      </c>
      <c r="C79" s="42" t="s">
        <v>170</v>
      </c>
      <c r="D79" s="42" t="s">
        <v>170</v>
      </c>
      <c r="E79" s="43">
        <v>44866</v>
      </c>
    </row>
    <row r="80" spans="1:5" ht="24">
      <c r="A80" s="42" t="s">
        <v>462</v>
      </c>
      <c r="B80" s="42" t="s">
        <v>463</v>
      </c>
      <c r="C80" s="42" t="s">
        <v>17</v>
      </c>
      <c r="D80" s="42" t="s">
        <v>17</v>
      </c>
      <c r="E80" s="43">
        <v>44896</v>
      </c>
    </row>
    <row r="81" spans="1:5" ht="24">
      <c r="A81" s="42" t="s">
        <v>464</v>
      </c>
      <c r="B81" s="42" t="s">
        <v>465</v>
      </c>
      <c r="C81" s="42" t="s">
        <v>466</v>
      </c>
      <c r="D81" s="42" t="s">
        <v>320</v>
      </c>
      <c r="E81" s="43">
        <v>44593</v>
      </c>
    </row>
    <row r="82" spans="1:5" ht="48">
      <c r="A82" s="42" t="s">
        <v>467</v>
      </c>
      <c r="B82" s="42" t="s">
        <v>468</v>
      </c>
      <c r="C82" s="42" t="s">
        <v>300</v>
      </c>
      <c r="D82" s="42" t="s">
        <v>8</v>
      </c>
      <c r="E82" s="43">
        <v>44682</v>
      </c>
    </row>
    <row r="83" spans="1:5" ht="24">
      <c r="A83" s="42" t="s">
        <v>469</v>
      </c>
      <c r="B83" s="42" t="s">
        <v>470</v>
      </c>
      <c r="C83" s="42" t="s">
        <v>471</v>
      </c>
      <c r="D83" s="42" t="s">
        <v>114</v>
      </c>
      <c r="E83" s="43">
        <v>44896</v>
      </c>
    </row>
    <row r="84" spans="1:5" ht="24">
      <c r="A84" s="42" t="s">
        <v>472</v>
      </c>
      <c r="B84" s="42" t="s">
        <v>473</v>
      </c>
      <c r="C84" s="42" t="s">
        <v>364</v>
      </c>
      <c r="D84" s="42" t="s">
        <v>320</v>
      </c>
      <c r="E84" s="43">
        <v>44682</v>
      </c>
    </row>
    <row r="85" spans="1:5" ht="24">
      <c r="A85" s="42" t="s">
        <v>474</v>
      </c>
      <c r="B85" s="42" t="s">
        <v>475</v>
      </c>
      <c r="C85" s="42" t="s">
        <v>300</v>
      </c>
      <c r="D85" s="42" t="s">
        <v>142</v>
      </c>
      <c r="E85" s="43">
        <v>44682</v>
      </c>
    </row>
    <row r="86" spans="1:5" ht="24">
      <c r="A86" s="42" t="s">
        <v>476</v>
      </c>
      <c r="B86" s="42" t="s">
        <v>477</v>
      </c>
      <c r="C86" s="42" t="s">
        <v>371</v>
      </c>
      <c r="D86" s="42" t="s">
        <v>50</v>
      </c>
      <c r="E86" s="43">
        <v>44835</v>
      </c>
    </row>
    <row r="87" spans="1:5" ht="24">
      <c r="A87" s="42" t="s">
        <v>478</v>
      </c>
      <c r="B87" s="42" t="s">
        <v>479</v>
      </c>
      <c r="C87" s="42" t="s">
        <v>296</v>
      </c>
      <c r="D87" s="42" t="s">
        <v>297</v>
      </c>
      <c r="E87" s="43">
        <v>44652</v>
      </c>
    </row>
    <row r="88" spans="1:5" ht="24">
      <c r="A88" s="42" t="s">
        <v>480</v>
      </c>
      <c r="B88" s="42" t="s">
        <v>481</v>
      </c>
      <c r="C88" s="42" t="s">
        <v>482</v>
      </c>
      <c r="D88" s="42" t="s">
        <v>23</v>
      </c>
      <c r="E88" s="43">
        <v>44866</v>
      </c>
    </row>
    <row r="89" spans="1:5" ht="24">
      <c r="A89" s="42" t="s">
        <v>483</v>
      </c>
      <c r="B89" s="42" t="s">
        <v>484</v>
      </c>
      <c r="C89" s="42" t="s">
        <v>300</v>
      </c>
      <c r="D89" s="42" t="s">
        <v>8</v>
      </c>
      <c r="E89" s="43">
        <v>44743</v>
      </c>
    </row>
    <row r="90" spans="1:5" ht="36">
      <c r="A90" s="42" t="s">
        <v>485</v>
      </c>
      <c r="B90" s="42" t="s">
        <v>486</v>
      </c>
      <c r="C90" s="42" t="s">
        <v>300</v>
      </c>
      <c r="D90" s="42" t="s">
        <v>142</v>
      </c>
      <c r="E90" s="43">
        <v>44835</v>
      </c>
    </row>
    <row r="91" spans="1:5" ht="24">
      <c r="A91" s="42" t="s">
        <v>487</v>
      </c>
      <c r="B91" s="42" t="s">
        <v>488</v>
      </c>
      <c r="C91" s="42" t="s">
        <v>164</v>
      </c>
      <c r="D91" s="42" t="s">
        <v>8</v>
      </c>
      <c r="E91" s="43">
        <v>44774</v>
      </c>
    </row>
    <row r="92" spans="1:5" ht="24">
      <c r="A92" s="42" t="s">
        <v>489</v>
      </c>
      <c r="B92" s="42" t="s">
        <v>490</v>
      </c>
      <c r="C92" s="42" t="s">
        <v>164</v>
      </c>
      <c r="D92" s="42" t="s">
        <v>8</v>
      </c>
      <c r="E92" s="43">
        <v>44774</v>
      </c>
    </row>
    <row r="93" spans="1:5" ht="36">
      <c r="A93" s="42" t="s">
        <v>491</v>
      </c>
      <c r="B93" s="42" t="s">
        <v>492</v>
      </c>
      <c r="C93" s="42" t="s">
        <v>300</v>
      </c>
      <c r="D93" s="42" t="s">
        <v>8</v>
      </c>
      <c r="E93" s="43">
        <v>44805</v>
      </c>
    </row>
    <row r="94" spans="1:5" ht="24">
      <c r="A94" s="42" t="s">
        <v>493</v>
      </c>
      <c r="B94" s="42" t="s">
        <v>494</v>
      </c>
      <c r="C94" s="42" t="s">
        <v>495</v>
      </c>
      <c r="D94" s="42" t="s">
        <v>23</v>
      </c>
      <c r="E94" s="43">
        <v>44835</v>
      </c>
    </row>
    <row r="95" spans="1:5" ht="36">
      <c r="A95" s="42" t="s">
        <v>496</v>
      </c>
      <c r="B95" s="42" t="s">
        <v>497</v>
      </c>
      <c r="C95" s="42" t="s">
        <v>300</v>
      </c>
      <c r="D95" s="42" t="s">
        <v>8</v>
      </c>
      <c r="E95" s="43">
        <v>44593</v>
      </c>
    </row>
    <row r="96" spans="1:5" ht="24">
      <c r="A96" s="42" t="s">
        <v>498</v>
      </c>
      <c r="B96" s="42" t="s">
        <v>490</v>
      </c>
      <c r="C96" s="42" t="s">
        <v>164</v>
      </c>
      <c r="D96" s="42" t="s">
        <v>8</v>
      </c>
      <c r="E96" s="43">
        <v>44774</v>
      </c>
    </row>
    <row r="97" spans="1:5" ht="24">
      <c r="A97" s="42" t="s">
        <v>499</v>
      </c>
      <c r="B97" s="42" t="s">
        <v>500</v>
      </c>
      <c r="C97" s="42" t="s">
        <v>501</v>
      </c>
      <c r="D97" s="42" t="s">
        <v>297</v>
      </c>
      <c r="E97" s="43">
        <v>44896</v>
      </c>
    </row>
    <row r="98" spans="1:5" ht="36">
      <c r="A98" s="42" t="s">
        <v>502</v>
      </c>
      <c r="B98" s="42" t="s">
        <v>503</v>
      </c>
      <c r="C98" s="42" t="s">
        <v>504</v>
      </c>
      <c r="D98" s="42" t="s">
        <v>297</v>
      </c>
      <c r="E98" s="43">
        <v>44805</v>
      </c>
    </row>
    <row r="99" spans="1:5" ht="24">
      <c r="A99" s="42" t="s">
        <v>505</v>
      </c>
      <c r="B99" s="42" t="s">
        <v>506</v>
      </c>
      <c r="C99" s="42" t="s">
        <v>300</v>
      </c>
      <c r="D99" s="42" t="s">
        <v>169</v>
      </c>
      <c r="E99" s="43">
        <v>44593</v>
      </c>
    </row>
    <row r="100" spans="1:5" ht="36">
      <c r="A100" s="42" t="s">
        <v>507</v>
      </c>
      <c r="B100" s="42" t="s">
        <v>508</v>
      </c>
      <c r="C100" s="42" t="s">
        <v>296</v>
      </c>
      <c r="D100" s="42" t="s">
        <v>297</v>
      </c>
      <c r="E100" s="43">
        <v>44835</v>
      </c>
    </row>
    <row r="101" spans="1:5" ht="24">
      <c r="A101" s="42" t="s">
        <v>509</v>
      </c>
      <c r="B101" s="42" t="s">
        <v>510</v>
      </c>
      <c r="C101" s="42" t="s">
        <v>511</v>
      </c>
      <c r="D101" s="42" t="s">
        <v>320</v>
      </c>
      <c r="E101" s="43">
        <v>44774</v>
      </c>
    </row>
    <row r="102" spans="1:5" ht="24">
      <c r="A102" s="42" t="s">
        <v>512</v>
      </c>
      <c r="B102" s="42" t="s">
        <v>513</v>
      </c>
      <c r="C102" s="42" t="s">
        <v>47</v>
      </c>
      <c r="D102" s="42" t="s">
        <v>281</v>
      </c>
      <c r="E102" s="43">
        <v>44652</v>
      </c>
    </row>
    <row r="103" spans="1:5" ht="24">
      <c r="A103" s="42" t="s">
        <v>514</v>
      </c>
      <c r="B103" s="42" t="s">
        <v>515</v>
      </c>
      <c r="C103" s="42" t="s">
        <v>23</v>
      </c>
      <c r="D103" s="42" t="s">
        <v>23</v>
      </c>
      <c r="E103" s="43">
        <v>44682</v>
      </c>
    </row>
    <row r="104" spans="1:5" ht="24">
      <c r="A104" s="42" t="s">
        <v>516</v>
      </c>
      <c r="B104" s="42" t="s">
        <v>517</v>
      </c>
      <c r="C104" s="42" t="s">
        <v>300</v>
      </c>
      <c r="D104" s="42" t="s">
        <v>202</v>
      </c>
      <c r="E104" s="43">
        <v>44593</v>
      </c>
    </row>
    <row r="105" spans="1:5" ht="24">
      <c r="A105" s="42" t="s">
        <v>518</v>
      </c>
      <c r="B105" s="42" t="s">
        <v>519</v>
      </c>
      <c r="C105" s="42" t="s">
        <v>300</v>
      </c>
      <c r="D105" s="42" t="s">
        <v>343</v>
      </c>
      <c r="E105" s="43">
        <v>44896</v>
      </c>
    </row>
    <row r="106" spans="1:5" ht="24">
      <c r="A106" s="42" t="s">
        <v>520</v>
      </c>
      <c r="B106" s="42" t="s">
        <v>521</v>
      </c>
      <c r="C106" s="42" t="s">
        <v>300</v>
      </c>
      <c r="D106" s="42" t="s">
        <v>8</v>
      </c>
      <c r="E106" s="43">
        <v>44835</v>
      </c>
    </row>
    <row r="107" spans="1:5" ht="36">
      <c r="A107" s="42" t="s">
        <v>522</v>
      </c>
      <c r="B107" s="42" t="s">
        <v>523</v>
      </c>
      <c r="C107" s="42" t="s">
        <v>296</v>
      </c>
      <c r="D107" s="42" t="s">
        <v>297</v>
      </c>
      <c r="E107" s="43">
        <v>44713</v>
      </c>
    </row>
    <row r="108" spans="1:5" ht="36">
      <c r="A108" s="42" t="s">
        <v>524</v>
      </c>
      <c r="B108" s="42" t="s">
        <v>525</v>
      </c>
      <c r="C108" s="42" t="s">
        <v>526</v>
      </c>
      <c r="D108" s="42" t="s">
        <v>8</v>
      </c>
      <c r="E108" s="43">
        <v>44621</v>
      </c>
    </row>
    <row r="109" spans="1:5" ht="24">
      <c r="A109" s="42" t="s">
        <v>527</v>
      </c>
      <c r="B109" s="42" t="s">
        <v>528</v>
      </c>
      <c r="C109" s="42" t="s">
        <v>300</v>
      </c>
      <c r="D109" s="42" t="s">
        <v>36</v>
      </c>
      <c r="E109" s="43">
        <v>44835</v>
      </c>
    </row>
    <row r="110" spans="1:5" ht="24">
      <c r="A110" s="42" t="s">
        <v>529</v>
      </c>
      <c r="B110" s="42" t="s">
        <v>530</v>
      </c>
      <c r="C110" s="42" t="s">
        <v>296</v>
      </c>
      <c r="D110" s="42" t="s">
        <v>297</v>
      </c>
      <c r="E110" s="43">
        <v>44835</v>
      </c>
    </row>
    <row r="111" spans="1:5" ht="24">
      <c r="A111" s="42" t="s">
        <v>531</v>
      </c>
      <c r="B111" s="42" t="s">
        <v>532</v>
      </c>
      <c r="C111" s="42" t="s">
        <v>300</v>
      </c>
      <c r="D111" s="42" t="s">
        <v>8</v>
      </c>
      <c r="E111" s="43">
        <v>44896</v>
      </c>
    </row>
    <row r="112" spans="1:5" ht="36">
      <c r="A112" s="42" t="s">
        <v>533</v>
      </c>
      <c r="B112" s="42" t="s">
        <v>534</v>
      </c>
      <c r="C112" s="42" t="s">
        <v>300</v>
      </c>
      <c r="D112" s="42" t="s">
        <v>8</v>
      </c>
      <c r="E112" s="43">
        <v>44743</v>
      </c>
    </row>
    <row r="113" spans="1:5" ht="24">
      <c r="A113" s="42" t="s">
        <v>535</v>
      </c>
      <c r="B113" s="42" t="s">
        <v>536</v>
      </c>
      <c r="C113" s="42" t="s">
        <v>300</v>
      </c>
      <c r="D113" s="42" t="s">
        <v>23</v>
      </c>
      <c r="E113" s="43">
        <v>44562</v>
      </c>
    </row>
    <row r="114" spans="1:5" ht="36">
      <c r="A114" s="42" t="s">
        <v>537</v>
      </c>
      <c r="B114" s="42" t="s">
        <v>538</v>
      </c>
      <c r="C114" s="42" t="s">
        <v>300</v>
      </c>
      <c r="D114" s="42" t="s">
        <v>142</v>
      </c>
      <c r="E114" s="43">
        <v>44835</v>
      </c>
    </row>
    <row r="115" spans="1:5" ht="24">
      <c r="A115" s="42" t="s">
        <v>539</v>
      </c>
      <c r="B115" s="42" t="s">
        <v>540</v>
      </c>
      <c r="C115" s="42" t="s">
        <v>300</v>
      </c>
      <c r="D115" s="42" t="s">
        <v>8</v>
      </c>
      <c r="E115" s="43">
        <v>44835</v>
      </c>
    </row>
    <row r="116" spans="1:5" ht="36">
      <c r="A116" s="42" t="s">
        <v>541</v>
      </c>
      <c r="B116" s="42" t="s">
        <v>542</v>
      </c>
      <c r="C116" s="42" t="s">
        <v>300</v>
      </c>
      <c r="D116" s="42" t="s">
        <v>23</v>
      </c>
      <c r="E116" s="43">
        <v>44713</v>
      </c>
    </row>
    <row r="117" spans="1:5" ht="36">
      <c r="A117" s="42" t="s">
        <v>543</v>
      </c>
      <c r="B117" s="42" t="s">
        <v>544</v>
      </c>
      <c r="C117" s="42" t="s">
        <v>300</v>
      </c>
      <c r="D117" s="42" t="s">
        <v>8</v>
      </c>
      <c r="E117" s="43">
        <v>44805</v>
      </c>
    </row>
    <row r="118" spans="1:5" ht="24">
      <c r="A118" s="42" t="s">
        <v>545</v>
      </c>
      <c r="B118" s="42" t="s">
        <v>546</v>
      </c>
      <c r="C118" s="42" t="s">
        <v>300</v>
      </c>
      <c r="D118" s="42" t="s">
        <v>320</v>
      </c>
      <c r="E118" s="43">
        <v>44866</v>
      </c>
    </row>
    <row r="119" spans="1:5" ht="36">
      <c r="A119" s="42" t="s">
        <v>547</v>
      </c>
      <c r="B119" s="42" t="s">
        <v>548</v>
      </c>
      <c r="C119" s="42" t="s">
        <v>549</v>
      </c>
      <c r="D119" s="42" t="s">
        <v>297</v>
      </c>
      <c r="E119" s="43">
        <v>44593</v>
      </c>
    </row>
    <row r="120" spans="1:5" ht="24">
      <c r="A120" s="42" t="s">
        <v>550</v>
      </c>
      <c r="B120" s="42" t="s">
        <v>551</v>
      </c>
      <c r="C120" s="42" t="s">
        <v>300</v>
      </c>
      <c r="D120" s="42" t="s">
        <v>8</v>
      </c>
      <c r="E120" s="43">
        <v>44652</v>
      </c>
    </row>
    <row r="121" spans="1:5" ht="36">
      <c r="A121" s="42" t="s">
        <v>552</v>
      </c>
      <c r="B121" s="42" t="s">
        <v>553</v>
      </c>
      <c r="C121" s="42" t="s">
        <v>300</v>
      </c>
      <c r="D121" s="42" t="s">
        <v>8</v>
      </c>
      <c r="E121" s="43">
        <v>44743</v>
      </c>
    </row>
    <row r="122" spans="1:5" ht="36">
      <c r="A122" s="42" t="s">
        <v>554</v>
      </c>
      <c r="B122" s="42" t="s">
        <v>555</v>
      </c>
      <c r="C122" s="42" t="s">
        <v>296</v>
      </c>
      <c r="D122" s="42" t="s">
        <v>297</v>
      </c>
      <c r="E122" s="43">
        <v>44621</v>
      </c>
    </row>
    <row r="123" spans="1:5" ht="48">
      <c r="A123" s="42" t="s">
        <v>556</v>
      </c>
      <c r="B123" s="42" t="s">
        <v>557</v>
      </c>
      <c r="C123" s="42" t="s">
        <v>300</v>
      </c>
      <c r="D123" s="42" t="s">
        <v>114</v>
      </c>
      <c r="E123" s="43">
        <v>44621</v>
      </c>
    </row>
    <row r="124" spans="1:5" ht="36">
      <c r="A124" s="42" t="s">
        <v>558</v>
      </c>
      <c r="B124" s="42" t="s">
        <v>559</v>
      </c>
      <c r="C124" s="42" t="s">
        <v>300</v>
      </c>
      <c r="D124" s="42" t="s">
        <v>8</v>
      </c>
      <c r="E124" s="43">
        <v>44835</v>
      </c>
    </row>
    <row r="125" spans="1:5" ht="36">
      <c r="A125" s="42" t="s">
        <v>560</v>
      </c>
      <c r="B125" s="42" t="s">
        <v>561</v>
      </c>
      <c r="C125" s="42" t="s">
        <v>296</v>
      </c>
      <c r="D125" s="42" t="s">
        <v>297</v>
      </c>
      <c r="E125" s="43">
        <v>44866</v>
      </c>
    </row>
    <row r="126" spans="1:5" ht="24">
      <c r="A126" s="42" t="s">
        <v>562</v>
      </c>
      <c r="B126" s="42" t="s">
        <v>563</v>
      </c>
      <c r="C126" s="42" t="s">
        <v>218</v>
      </c>
      <c r="D126" s="42" t="s">
        <v>23</v>
      </c>
      <c r="E126" s="43">
        <v>44652</v>
      </c>
    </row>
    <row r="127" spans="1:5" ht="24">
      <c r="A127" s="42" t="s">
        <v>564</v>
      </c>
      <c r="B127" s="42" t="s">
        <v>565</v>
      </c>
      <c r="C127" s="42" t="s">
        <v>300</v>
      </c>
      <c r="D127" s="42" t="s">
        <v>23</v>
      </c>
      <c r="E127" s="43">
        <v>44562</v>
      </c>
    </row>
    <row r="128" spans="1:5" ht="36">
      <c r="A128" s="42" t="s">
        <v>566</v>
      </c>
      <c r="B128" s="42" t="s">
        <v>567</v>
      </c>
      <c r="C128" s="42" t="s">
        <v>300</v>
      </c>
      <c r="D128" s="42" t="s">
        <v>19</v>
      </c>
      <c r="E128" s="43">
        <v>44866</v>
      </c>
    </row>
    <row r="129" spans="1:5" ht="24">
      <c r="A129" s="42" t="s">
        <v>568</v>
      </c>
      <c r="B129" s="42" t="s">
        <v>569</v>
      </c>
      <c r="C129" s="42" t="s">
        <v>300</v>
      </c>
      <c r="D129" s="42" t="s">
        <v>170</v>
      </c>
      <c r="E129" s="43">
        <v>44835</v>
      </c>
    </row>
    <row r="130" spans="1:5" ht="36">
      <c r="A130" s="42" t="s">
        <v>570</v>
      </c>
      <c r="B130" s="42" t="s">
        <v>571</v>
      </c>
      <c r="C130" s="42" t="s">
        <v>417</v>
      </c>
      <c r="D130" s="42" t="s">
        <v>287</v>
      </c>
      <c r="E130" s="43">
        <v>44621</v>
      </c>
    </row>
    <row r="131" spans="1:5" ht="36">
      <c r="A131" s="42" t="s">
        <v>572</v>
      </c>
      <c r="B131" s="42" t="s">
        <v>573</v>
      </c>
      <c r="C131" s="42" t="s">
        <v>296</v>
      </c>
      <c r="D131" s="42" t="s">
        <v>297</v>
      </c>
      <c r="E131" s="43">
        <v>44713</v>
      </c>
    </row>
    <row r="132" spans="1:5" ht="36">
      <c r="A132" s="42" t="s">
        <v>574</v>
      </c>
      <c r="B132" s="42" t="s">
        <v>575</v>
      </c>
      <c r="C132" s="42" t="s">
        <v>300</v>
      </c>
      <c r="D132" s="42" t="s">
        <v>23</v>
      </c>
      <c r="E132" s="43">
        <v>44713</v>
      </c>
    </row>
    <row r="133" spans="1:5" ht="24">
      <c r="A133" s="42" t="s">
        <v>576</v>
      </c>
      <c r="B133" s="42" t="s">
        <v>577</v>
      </c>
      <c r="C133" s="42" t="s">
        <v>300</v>
      </c>
      <c r="D133" s="42" t="s">
        <v>8</v>
      </c>
      <c r="E133" s="43">
        <v>44896</v>
      </c>
    </row>
    <row r="134" spans="1:5" ht="48">
      <c r="A134" s="42" t="s">
        <v>578</v>
      </c>
      <c r="B134" s="42" t="s">
        <v>579</v>
      </c>
      <c r="C134" s="42" t="s">
        <v>300</v>
      </c>
      <c r="D134" s="42" t="s">
        <v>170</v>
      </c>
      <c r="E134" s="43">
        <v>44562</v>
      </c>
    </row>
    <row r="135" spans="1:5" ht="24">
      <c r="A135" s="42" t="s">
        <v>580</v>
      </c>
      <c r="B135" s="42" t="s">
        <v>581</v>
      </c>
      <c r="C135" s="42" t="s">
        <v>300</v>
      </c>
      <c r="D135" s="42" t="s">
        <v>19</v>
      </c>
      <c r="E135" s="43">
        <v>44743</v>
      </c>
    </row>
    <row r="136" spans="1:5" ht="24">
      <c r="A136" s="42" t="s">
        <v>582</v>
      </c>
      <c r="B136" s="42" t="s">
        <v>583</v>
      </c>
      <c r="C136" s="42" t="s">
        <v>300</v>
      </c>
      <c r="D136" s="42" t="s">
        <v>8</v>
      </c>
      <c r="E136" s="43">
        <v>44896</v>
      </c>
    </row>
    <row r="137" spans="1:5" ht="24">
      <c r="A137" s="42" t="s">
        <v>584</v>
      </c>
      <c r="B137" s="42" t="s">
        <v>585</v>
      </c>
      <c r="C137" s="42" t="s">
        <v>300</v>
      </c>
      <c r="D137" s="42" t="s">
        <v>8</v>
      </c>
      <c r="E137" s="43">
        <v>44562</v>
      </c>
    </row>
    <row r="138" spans="1:5" ht="24">
      <c r="A138" s="42" t="s">
        <v>586</v>
      </c>
      <c r="B138" s="42" t="s">
        <v>587</v>
      </c>
      <c r="C138" s="42" t="s">
        <v>300</v>
      </c>
      <c r="D138" s="42" t="s">
        <v>17</v>
      </c>
      <c r="E138" s="43">
        <v>44774</v>
      </c>
    </row>
    <row r="139" spans="1:5" ht="24">
      <c r="A139" s="42" t="s">
        <v>588</v>
      </c>
      <c r="B139" s="42" t="s">
        <v>589</v>
      </c>
      <c r="C139" s="42" t="s">
        <v>300</v>
      </c>
      <c r="D139" s="42" t="s">
        <v>170</v>
      </c>
      <c r="E139" s="43">
        <v>44562</v>
      </c>
    </row>
    <row r="140" spans="1:5" ht="24">
      <c r="A140" s="42" t="s">
        <v>590</v>
      </c>
      <c r="B140" s="42" t="s">
        <v>591</v>
      </c>
      <c r="C140" s="42" t="s">
        <v>300</v>
      </c>
      <c r="D140" s="42" t="s">
        <v>169</v>
      </c>
      <c r="E140" s="43">
        <v>44896</v>
      </c>
    </row>
    <row r="141" spans="1:5" ht="36">
      <c r="A141" s="42" t="s">
        <v>592</v>
      </c>
      <c r="B141" s="42" t="s">
        <v>593</v>
      </c>
      <c r="C141" s="42" t="s">
        <v>47</v>
      </c>
      <c r="D141" s="42" t="s">
        <v>281</v>
      </c>
      <c r="E141" s="43">
        <v>44805</v>
      </c>
    </row>
    <row r="142" spans="1:5" ht="24">
      <c r="A142" s="42" t="s">
        <v>594</v>
      </c>
      <c r="B142" s="42" t="s">
        <v>595</v>
      </c>
      <c r="C142" s="42" t="s">
        <v>300</v>
      </c>
      <c r="D142" s="42" t="s">
        <v>8</v>
      </c>
      <c r="E142" s="43">
        <v>44743</v>
      </c>
    </row>
    <row r="143" spans="1:5" ht="36">
      <c r="A143" s="42" t="s">
        <v>596</v>
      </c>
      <c r="B143" s="42" t="s">
        <v>597</v>
      </c>
      <c r="C143" s="42" t="s">
        <v>504</v>
      </c>
      <c r="D143" s="42" t="s">
        <v>213</v>
      </c>
      <c r="E143" s="43">
        <v>44621</v>
      </c>
    </row>
    <row r="144" spans="1:5" ht="24">
      <c r="A144" s="42" t="s">
        <v>598</v>
      </c>
      <c r="B144" s="42" t="s">
        <v>599</v>
      </c>
      <c r="C144" s="42" t="s">
        <v>300</v>
      </c>
      <c r="D144" s="42" t="s">
        <v>8</v>
      </c>
      <c r="E144" s="43">
        <v>44743</v>
      </c>
    </row>
    <row r="145" spans="1:5" ht="24">
      <c r="A145" s="42" t="s">
        <v>600</v>
      </c>
      <c r="B145" s="42" t="s">
        <v>300</v>
      </c>
      <c r="C145" s="42" t="s">
        <v>300</v>
      </c>
      <c r="D145" s="42" t="s">
        <v>170</v>
      </c>
      <c r="E145" s="43">
        <v>45200</v>
      </c>
    </row>
    <row r="146" spans="1:5" ht="36">
      <c r="A146" s="42" t="s">
        <v>601</v>
      </c>
      <c r="B146" s="42" t="s">
        <v>602</v>
      </c>
      <c r="C146" s="42" t="s">
        <v>300</v>
      </c>
      <c r="D146" s="42" t="s">
        <v>320</v>
      </c>
      <c r="E146" s="43">
        <v>44805</v>
      </c>
    </row>
    <row r="147" spans="1:5" ht="36">
      <c r="A147" s="42" t="s">
        <v>603</v>
      </c>
      <c r="B147" s="42" t="s">
        <v>604</v>
      </c>
      <c r="C147" s="42" t="s">
        <v>218</v>
      </c>
      <c r="D147" s="42" t="s">
        <v>8</v>
      </c>
      <c r="E147" s="43">
        <v>44805</v>
      </c>
    </row>
    <row r="148" spans="1:5" ht="36">
      <c r="A148" s="42" t="s">
        <v>605</v>
      </c>
      <c r="B148" s="42" t="s">
        <v>606</v>
      </c>
      <c r="C148" s="42" t="s">
        <v>221</v>
      </c>
      <c r="D148" s="42" t="s">
        <v>213</v>
      </c>
      <c r="E148" s="43">
        <v>44774</v>
      </c>
    </row>
    <row r="149" spans="1:5" ht="24">
      <c r="A149" s="42" t="s">
        <v>607</v>
      </c>
      <c r="B149" s="42" t="s">
        <v>608</v>
      </c>
      <c r="C149" s="42" t="s">
        <v>300</v>
      </c>
      <c r="D149" s="42" t="s">
        <v>45</v>
      </c>
      <c r="E149" s="43">
        <v>44743</v>
      </c>
    </row>
    <row r="150" spans="1:5" ht="24">
      <c r="A150" s="42" t="s">
        <v>609</v>
      </c>
      <c r="B150" s="42" t="s">
        <v>610</v>
      </c>
      <c r="C150" s="42" t="s">
        <v>300</v>
      </c>
      <c r="D150" s="42" t="s">
        <v>8</v>
      </c>
      <c r="E150" s="43">
        <v>44774</v>
      </c>
    </row>
    <row r="151" spans="1:5" ht="36">
      <c r="A151" s="42" t="s">
        <v>611</v>
      </c>
      <c r="B151" s="42" t="s">
        <v>612</v>
      </c>
      <c r="C151" s="42" t="s">
        <v>300</v>
      </c>
      <c r="D151" s="42" t="s">
        <v>45</v>
      </c>
      <c r="E151" s="43">
        <v>44805</v>
      </c>
    </row>
    <row r="152" spans="1:5" ht="24">
      <c r="A152" s="42" t="s">
        <v>613</v>
      </c>
      <c r="B152" s="42" t="s">
        <v>614</v>
      </c>
      <c r="C152" s="42" t="s">
        <v>164</v>
      </c>
      <c r="D152" s="42" t="s">
        <v>8</v>
      </c>
      <c r="E152" s="43">
        <v>44835</v>
      </c>
    </row>
    <row r="153" spans="1:5" ht="36">
      <c r="A153" s="42" t="s">
        <v>615</v>
      </c>
      <c r="B153" s="42" t="s">
        <v>616</v>
      </c>
      <c r="C153" s="42" t="s">
        <v>300</v>
      </c>
      <c r="D153" s="42" t="s">
        <v>8</v>
      </c>
      <c r="E153" s="43">
        <v>44743</v>
      </c>
    </row>
    <row r="154" spans="1:5" ht="24">
      <c r="A154" s="42" t="s">
        <v>617</v>
      </c>
      <c r="B154" s="42" t="s">
        <v>618</v>
      </c>
      <c r="C154" s="42" t="s">
        <v>300</v>
      </c>
      <c r="D154" s="42" t="s">
        <v>17</v>
      </c>
      <c r="E154" s="43">
        <v>44562</v>
      </c>
    </row>
    <row r="155" spans="1:5" ht="36">
      <c r="A155" s="42" t="s">
        <v>619</v>
      </c>
      <c r="B155" s="42" t="s">
        <v>620</v>
      </c>
      <c r="C155" s="42" t="s">
        <v>300</v>
      </c>
      <c r="D155" s="42" t="s">
        <v>8</v>
      </c>
      <c r="E155" s="43">
        <v>44866</v>
      </c>
    </row>
    <row r="156" spans="1:5" ht="24">
      <c r="A156" s="42" t="s">
        <v>621</v>
      </c>
      <c r="B156" s="42" t="s">
        <v>300</v>
      </c>
      <c r="C156" s="42" t="s">
        <v>392</v>
      </c>
      <c r="D156" s="42" t="s">
        <v>281</v>
      </c>
      <c r="E156" s="43">
        <v>44986</v>
      </c>
    </row>
    <row r="157" spans="1:5" ht="24">
      <c r="A157" s="42" t="s">
        <v>622</v>
      </c>
      <c r="B157" s="42" t="s">
        <v>623</v>
      </c>
      <c r="C157" s="42" t="s">
        <v>300</v>
      </c>
      <c r="D157" s="42" t="s">
        <v>343</v>
      </c>
      <c r="E157" s="43">
        <v>44652</v>
      </c>
    </row>
    <row r="158" spans="1:5" ht="24">
      <c r="A158" s="42" t="s">
        <v>624</v>
      </c>
      <c r="B158" s="42" t="s">
        <v>625</v>
      </c>
      <c r="C158" s="42" t="s">
        <v>626</v>
      </c>
      <c r="D158" s="42" t="s">
        <v>23</v>
      </c>
      <c r="E158" s="43">
        <v>44562</v>
      </c>
    </row>
    <row r="159" spans="1:5" ht="24">
      <c r="A159" s="42" t="s">
        <v>627</v>
      </c>
      <c r="B159" s="42" t="s">
        <v>628</v>
      </c>
      <c r="C159" s="42" t="s">
        <v>300</v>
      </c>
      <c r="D159" s="42" t="s">
        <v>8</v>
      </c>
      <c r="E159" s="43">
        <v>44562</v>
      </c>
    </row>
    <row r="160" spans="1:5" ht="36">
      <c r="A160" s="45" t="s">
        <v>629</v>
      </c>
      <c r="B160" s="42" t="s">
        <v>630</v>
      </c>
      <c r="C160" s="42" t="s">
        <v>300</v>
      </c>
      <c r="D160" s="42" t="s">
        <v>23</v>
      </c>
      <c r="E160" s="43">
        <v>44805</v>
      </c>
    </row>
    <row r="161" spans="1:5" ht="24">
      <c r="A161" s="42" t="s">
        <v>631</v>
      </c>
      <c r="B161" s="42" t="s">
        <v>632</v>
      </c>
      <c r="C161" s="42" t="s">
        <v>300</v>
      </c>
      <c r="D161" s="42" t="s">
        <v>169</v>
      </c>
      <c r="E161" s="43">
        <v>44774</v>
      </c>
    </row>
    <row r="162" spans="1:5" ht="24">
      <c r="A162" s="42" t="s">
        <v>633</v>
      </c>
      <c r="B162" s="42" t="s">
        <v>634</v>
      </c>
      <c r="C162" s="42" t="s">
        <v>392</v>
      </c>
      <c r="D162" s="42" t="s">
        <v>281</v>
      </c>
      <c r="E162" s="43">
        <v>44593</v>
      </c>
    </row>
    <row r="163" spans="1:5" ht="36">
      <c r="A163" s="42" t="s">
        <v>635</v>
      </c>
      <c r="B163" s="42" t="s">
        <v>636</v>
      </c>
      <c r="C163" s="42" t="s">
        <v>300</v>
      </c>
      <c r="D163" s="42" t="s">
        <v>114</v>
      </c>
      <c r="E163" s="43">
        <v>44805</v>
      </c>
    </row>
    <row r="164" spans="1:5" ht="24">
      <c r="A164" s="42" t="s">
        <v>637</v>
      </c>
      <c r="B164" s="42" t="s">
        <v>638</v>
      </c>
      <c r="C164" s="42" t="s">
        <v>300</v>
      </c>
      <c r="D164" s="42" t="s">
        <v>8</v>
      </c>
      <c r="E164" s="43">
        <v>44593</v>
      </c>
    </row>
    <row r="165" spans="1:5" ht="24">
      <c r="A165" s="42" t="s">
        <v>639</v>
      </c>
      <c r="B165" s="42" t="s">
        <v>640</v>
      </c>
      <c r="C165" s="42" t="s">
        <v>300</v>
      </c>
      <c r="D165" s="42" t="s">
        <v>170</v>
      </c>
      <c r="E165" s="43">
        <v>44743</v>
      </c>
    </row>
    <row r="166" spans="1:5" ht="36">
      <c r="A166" s="42" t="s">
        <v>641</v>
      </c>
      <c r="B166" s="42" t="s">
        <v>642</v>
      </c>
      <c r="C166" s="42" t="s">
        <v>300</v>
      </c>
      <c r="D166" s="42" t="s">
        <v>8</v>
      </c>
      <c r="E166" s="43">
        <v>44713</v>
      </c>
    </row>
    <row r="167" spans="1:5" ht="36">
      <c r="A167" s="42" t="s">
        <v>643</v>
      </c>
      <c r="B167" s="42" t="s">
        <v>644</v>
      </c>
      <c r="C167" s="42" t="s">
        <v>300</v>
      </c>
      <c r="D167" s="42" t="s">
        <v>19</v>
      </c>
      <c r="E167" s="43">
        <v>44805</v>
      </c>
    </row>
    <row r="168" spans="1:5" ht="24">
      <c r="A168" s="42" t="s">
        <v>645</v>
      </c>
      <c r="B168" s="42" t="s">
        <v>300</v>
      </c>
      <c r="C168" s="42" t="s">
        <v>300</v>
      </c>
      <c r="D168" s="42" t="s">
        <v>170</v>
      </c>
      <c r="E168" s="43">
        <v>45078</v>
      </c>
    </row>
    <row r="169" spans="1:5" ht="24">
      <c r="A169" s="42" t="s">
        <v>646</v>
      </c>
      <c r="B169" s="42" t="s">
        <v>647</v>
      </c>
      <c r="C169" s="42" t="s">
        <v>453</v>
      </c>
      <c r="D169" s="42" t="s">
        <v>297</v>
      </c>
      <c r="E169" s="43">
        <v>44835</v>
      </c>
    </row>
    <row r="170" spans="1:5" ht="24">
      <c r="A170" s="42" t="s">
        <v>648</v>
      </c>
      <c r="B170" s="42" t="s">
        <v>649</v>
      </c>
      <c r="C170" s="42" t="s">
        <v>300</v>
      </c>
      <c r="D170" s="42" t="s">
        <v>297</v>
      </c>
      <c r="E170" s="43">
        <v>44593</v>
      </c>
    </row>
    <row r="171" spans="1:5" ht="24">
      <c r="A171" s="42" t="s">
        <v>650</v>
      </c>
      <c r="B171" s="42" t="s">
        <v>651</v>
      </c>
      <c r="C171" s="44"/>
      <c r="D171" s="42" t="s">
        <v>8</v>
      </c>
      <c r="E171" s="43">
        <v>45017</v>
      </c>
    </row>
    <row r="172" spans="1:5" ht="24">
      <c r="A172" s="42" t="s">
        <v>652</v>
      </c>
      <c r="B172" s="45" t="s">
        <v>300</v>
      </c>
      <c r="C172" s="42" t="s">
        <v>453</v>
      </c>
      <c r="D172" s="42" t="s">
        <v>297</v>
      </c>
      <c r="E172" s="43">
        <v>45170</v>
      </c>
    </row>
    <row r="173" spans="1:5" ht="24">
      <c r="A173" s="42" t="s">
        <v>653</v>
      </c>
      <c r="B173" s="44"/>
      <c r="C173" s="42" t="s">
        <v>417</v>
      </c>
      <c r="D173" s="42" t="s">
        <v>287</v>
      </c>
      <c r="E173" s="43">
        <v>44927</v>
      </c>
    </row>
    <row r="174" spans="1:5" ht="24">
      <c r="A174" s="42" t="s">
        <v>654</v>
      </c>
      <c r="B174" s="44"/>
      <c r="C174" s="42" t="s">
        <v>219</v>
      </c>
      <c r="D174" s="42" t="s">
        <v>8</v>
      </c>
      <c r="E174" s="43">
        <v>45108</v>
      </c>
    </row>
    <row r="175" spans="1:5" ht="24">
      <c r="A175" s="46" t="s">
        <v>655</v>
      </c>
      <c r="B175" s="44"/>
      <c r="C175" s="42" t="s">
        <v>164</v>
      </c>
      <c r="D175" s="42" t="s">
        <v>8</v>
      </c>
      <c r="E175" s="43">
        <v>44958</v>
      </c>
    </row>
    <row r="176" spans="1:5" ht="24">
      <c r="A176" s="42" t="s">
        <v>656</v>
      </c>
      <c r="B176" s="47">
        <v>30754</v>
      </c>
      <c r="C176" s="42" t="s">
        <v>657</v>
      </c>
      <c r="D176" s="42" t="s">
        <v>8</v>
      </c>
      <c r="E176" s="43">
        <v>44986</v>
      </c>
    </row>
    <row r="177" spans="1:5" ht="24">
      <c r="A177" s="42" t="s">
        <v>658</v>
      </c>
      <c r="B177" s="44"/>
      <c r="C177" s="44"/>
      <c r="D177" s="42" t="s">
        <v>19</v>
      </c>
      <c r="E177" s="43">
        <v>45261</v>
      </c>
    </row>
    <row r="178" spans="1:5">
      <c r="A178" s="42" t="s">
        <v>659</v>
      </c>
      <c r="B178" s="44"/>
      <c r="C178" s="44"/>
      <c r="D178" s="42" t="s">
        <v>281</v>
      </c>
      <c r="E178" s="43">
        <v>45047</v>
      </c>
    </row>
    <row r="179" spans="1:5" ht="24">
      <c r="A179" s="42" t="s">
        <v>660</v>
      </c>
      <c r="B179" s="44"/>
      <c r="C179" s="44"/>
      <c r="D179" s="42" t="s">
        <v>8</v>
      </c>
      <c r="E179" s="43">
        <v>46054</v>
      </c>
    </row>
    <row r="180" spans="1:5" ht="24">
      <c r="A180" s="42" t="s">
        <v>661</v>
      </c>
      <c r="B180" s="44"/>
      <c r="C180" s="42" t="s">
        <v>662</v>
      </c>
      <c r="D180" s="42" t="s">
        <v>50</v>
      </c>
      <c r="E180" s="43">
        <v>46235</v>
      </c>
    </row>
    <row r="181" spans="1:5" ht="24">
      <c r="A181" s="42" t="s">
        <v>663</v>
      </c>
      <c r="B181" s="44"/>
      <c r="C181" s="42" t="s">
        <v>296</v>
      </c>
      <c r="D181" s="42" t="s">
        <v>297</v>
      </c>
      <c r="E181" s="43">
        <v>46143</v>
      </c>
    </row>
    <row r="182" spans="1:5" ht="24">
      <c r="A182" s="42" t="s">
        <v>664</v>
      </c>
      <c r="B182" s="44"/>
      <c r="C182" s="42" t="s">
        <v>19</v>
      </c>
      <c r="D182" s="42" t="s">
        <v>19</v>
      </c>
      <c r="E182" s="43">
        <v>46174</v>
      </c>
    </row>
    <row r="183" spans="1:5" ht="24">
      <c r="A183" s="42" t="s">
        <v>665</v>
      </c>
      <c r="B183" s="44"/>
      <c r="C183" s="44"/>
      <c r="D183" s="42" t="s">
        <v>50</v>
      </c>
      <c r="E183" s="43">
        <v>46113</v>
      </c>
    </row>
    <row r="184" spans="1:5" ht="24">
      <c r="A184" s="42" t="s">
        <v>666</v>
      </c>
      <c r="B184" s="44"/>
      <c r="C184" s="42" t="s">
        <v>170</v>
      </c>
      <c r="D184" s="42" t="s">
        <v>170</v>
      </c>
      <c r="E184" s="43">
        <v>46143</v>
      </c>
    </row>
    <row r="185" spans="1:5" ht="36">
      <c r="A185" s="42" t="s">
        <v>667</v>
      </c>
      <c r="B185" s="44"/>
      <c r="C185" s="42" t="s">
        <v>668</v>
      </c>
      <c r="D185" s="42" t="s">
        <v>8</v>
      </c>
      <c r="E185" s="43">
        <v>46113</v>
      </c>
    </row>
    <row r="186" spans="1:5" ht="24">
      <c r="A186" s="42" t="s">
        <v>669</v>
      </c>
      <c r="B186" s="44"/>
      <c r="C186" s="42" t="s">
        <v>670</v>
      </c>
      <c r="D186" s="42" t="s">
        <v>320</v>
      </c>
      <c r="E186" s="43">
        <v>46266</v>
      </c>
    </row>
    <row r="187" spans="1:5" ht="24">
      <c r="A187" s="42" t="s">
        <v>671</v>
      </c>
      <c r="B187" s="44"/>
      <c r="C187" s="42" t="s">
        <v>8</v>
      </c>
      <c r="D187" s="42" t="s">
        <v>8</v>
      </c>
      <c r="E187" s="43">
        <v>46082</v>
      </c>
    </row>
    <row r="188" spans="1:5" ht="24">
      <c r="A188" s="42" t="s">
        <v>672</v>
      </c>
      <c r="B188" s="44"/>
      <c r="C188" s="42" t="s">
        <v>8</v>
      </c>
      <c r="D188" s="42" t="s">
        <v>8</v>
      </c>
      <c r="E188" s="43">
        <v>46054</v>
      </c>
    </row>
    <row r="189" spans="1:5" ht="24">
      <c r="A189" s="42" t="s">
        <v>673</v>
      </c>
      <c r="B189" s="44"/>
      <c r="C189" s="42" t="s">
        <v>674</v>
      </c>
      <c r="D189" s="42" t="s">
        <v>202</v>
      </c>
      <c r="E189" s="43">
        <v>46023</v>
      </c>
    </row>
    <row r="190" spans="1:5" ht="24">
      <c r="A190" s="42" t="s">
        <v>675</v>
      </c>
      <c r="B190" s="44"/>
      <c r="C190" s="42" t="s">
        <v>676</v>
      </c>
      <c r="D190" s="42" t="s">
        <v>142</v>
      </c>
      <c r="E190" s="43">
        <v>46023</v>
      </c>
    </row>
    <row r="191" spans="1:5" ht="36.75" customHeight="1">
      <c r="A191" s="42" t="s">
        <v>677</v>
      </c>
      <c r="B191" s="44"/>
      <c r="C191" s="44" t="s">
        <v>170</v>
      </c>
      <c r="D191" s="44" t="s">
        <v>170</v>
      </c>
      <c r="E191" s="52" t="s">
        <v>678</v>
      </c>
    </row>
    <row r="192" spans="1:5" ht="33.75" customHeight="1">
      <c r="A192" s="42" t="s">
        <v>679</v>
      </c>
      <c r="B192" s="44"/>
      <c r="C192" s="42" t="s">
        <v>8</v>
      </c>
      <c r="D192" s="42" t="s">
        <v>8</v>
      </c>
      <c r="E192" s="51">
        <v>46082</v>
      </c>
    </row>
    <row r="193" spans="1:5" ht="42.75" customHeight="1">
      <c r="A193" s="42" t="s">
        <v>680</v>
      </c>
      <c r="B193" s="44"/>
      <c r="C193" s="44" t="s">
        <v>681</v>
      </c>
      <c r="D193" s="44" t="s">
        <v>114</v>
      </c>
      <c r="E193" s="52" t="s">
        <v>682</v>
      </c>
    </row>
  </sheetData>
  <conditionalFormatting sqref="E1:E193">
    <cfRule type="containsText" dxfId="0" priority="1" stopIfTrue="1" operator="containsText" text="dec">
      <formula>NOT(ISERROR(FIND(UPPER("dec"),UPPER(E1))))</formula>
      <formula>"dec"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2026-04-22T13:36:39Z</dcterms:created>
  <dcterms:modified xsi:type="dcterms:W3CDTF">2026-04-25T14:09:36Z</dcterms:modified>
  <cp:category/>
  <cp:contentStatus/>
</cp:coreProperties>
</file>